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peris/Desktop/PHD_MASTER/03_PANCAN/cohort/"/>
    </mc:Choice>
  </mc:AlternateContent>
  <xr:revisionPtr revIDLastSave="0" documentId="13_ncr:1_{922EAF96-69B5-4D4B-B45F-E374531F76E2}" xr6:coauthVersionLast="47" xr6:coauthVersionMax="47" xr10:uidLastSave="{00000000-0000-0000-0000-000000000000}"/>
  <bookViews>
    <workbookView xWindow="-30240" yWindow="4680" windowWidth="30240" windowHeight="17640" activeTab="2" xr2:uid="{00000000-000D-0000-FFFF-FFFF00000000}"/>
  </bookViews>
  <sheets>
    <sheet name="README" sheetId="1" r:id="rId1"/>
    <sheet name="Sample_Matrix" sheetId="2" r:id="rId2"/>
    <sheet name="Analysis_Register" sheetId="3" r:id="rId3"/>
    <sheet name="Cohort_Summary" sheetId="4" r:id="rId4"/>
    <sheet name="Status_Defini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4" l="1"/>
  <c r="G35" i="4"/>
  <c r="F35" i="4"/>
  <c r="E35" i="4"/>
  <c r="D35" i="4"/>
  <c r="C35" i="4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30" i="4"/>
  <c r="G30" i="4"/>
  <c r="F30" i="4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H28" i="4"/>
  <c r="G28" i="4"/>
  <c r="F28" i="4"/>
  <c r="E28" i="4"/>
  <c r="D28" i="4"/>
  <c r="C28" i="4"/>
  <c r="B28" i="4"/>
  <c r="A28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C26" i="4"/>
  <c r="B26" i="4"/>
  <c r="A26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H21" i="4"/>
  <c r="G21" i="4"/>
  <c r="F21" i="4"/>
  <c r="E21" i="4"/>
  <c r="D21" i="4"/>
  <c r="C21" i="4"/>
  <c r="B21" i="4"/>
  <c r="A21" i="4"/>
  <c r="H20" i="4"/>
  <c r="G20" i="4"/>
  <c r="F20" i="4"/>
  <c r="E20" i="4"/>
  <c r="D20" i="4"/>
  <c r="C20" i="4"/>
  <c r="B20" i="4"/>
  <c r="A20" i="4"/>
  <c r="H19" i="4"/>
  <c r="G19" i="4"/>
  <c r="F19" i="4"/>
  <c r="E19" i="4"/>
  <c r="D19" i="4"/>
  <c r="C19" i="4"/>
  <c r="B19" i="4"/>
  <c r="A19" i="4"/>
  <c r="H18" i="4"/>
  <c r="G18" i="4"/>
  <c r="F18" i="4"/>
  <c r="E18" i="4"/>
  <c r="D18" i="4"/>
  <c r="C18" i="4"/>
  <c r="B18" i="4"/>
  <c r="A18" i="4"/>
  <c r="H17" i="4"/>
  <c r="G17" i="4"/>
  <c r="F17" i="4"/>
  <c r="E17" i="4"/>
  <c r="D17" i="4"/>
  <c r="C17" i="4"/>
  <c r="B17" i="4"/>
  <c r="A17" i="4"/>
  <c r="H16" i="4"/>
  <c r="G16" i="4"/>
  <c r="F16" i="4"/>
  <c r="E16" i="4"/>
  <c r="D16" i="4"/>
  <c r="C16" i="4"/>
  <c r="B16" i="4"/>
  <c r="A16" i="4"/>
  <c r="H15" i="4"/>
  <c r="G15" i="4"/>
  <c r="F15" i="4"/>
  <c r="E15" i="4"/>
  <c r="D15" i="4"/>
  <c r="C15" i="4"/>
  <c r="B15" i="4"/>
  <c r="A15" i="4"/>
  <c r="H14" i="4"/>
  <c r="G14" i="4"/>
  <c r="F14" i="4"/>
  <c r="E14" i="4"/>
  <c r="D14" i="4"/>
  <c r="C14" i="4"/>
  <c r="B14" i="4"/>
  <c r="A14" i="4"/>
  <c r="H13" i="4"/>
  <c r="G13" i="4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C10" i="4"/>
  <c r="B10" i="4"/>
  <c r="A10" i="4"/>
  <c r="H9" i="4"/>
  <c r="G9" i="4"/>
  <c r="F9" i="4"/>
  <c r="E9" i="4"/>
  <c r="D9" i="4"/>
  <c r="C9" i="4"/>
  <c r="B9" i="4"/>
  <c r="A9" i="4"/>
  <c r="H8" i="4"/>
  <c r="G8" i="4"/>
  <c r="F8" i="4"/>
  <c r="E8" i="4"/>
  <c r="D8" i="4"/>
  <c r="C8" i="4"/>
  <c r="B8" i="4"/>
  <c r="A8" i="4"/>
  <c r="H7" i="4"/>
  <c r="G7" i="4"/>
  <c r="F7" i="4"/>
  <c r="E7" i="4"/>
  <c r="D7" i="4"/>
  <c r="C7" i="4"/>
  <c r="B7" i="4"/>
  <c r="A7" i="4"/>
  <c r="G6" i="4"/>
  <c r="F6" i="4"/>
  <c r="E6" i="4"/>
  <c r="D6" i="4"/>
  <c r="C6" i="4"/>
  <c r="B6" i="4"/>
  <c r="H6" i="4" s="1"/>
  <c r="A6" i="4"/>
</calcChain>
</file>

<file path=xl/sharedStrings.xml><?xml version="1.0" encoding="utf-8"?>
<sst xmlns="http://schemas.openxmlformats.org/spreadsheetml/2006/main" count="1095" uniqueCount="278">
  <si>
    <t>PAN-CANCER ANALYSIS INVENTORY WORKBOOK</t>
  </si>
  <si>
    <t>Purpose: reconstruct the current analytical state of the pan-cancer cohort before defining the minimum analysis set required for the thesis.</t>
  </si>
  <si>
    <t>Step</t>
  </si>
  <si>
    <t>Instruction</t>
  </si>
  <si>
    <t>1</t>
  </si>
  <si>
    <t>Populate Sample_Matrix with one sample per row.</t>
  </si>
  <si>
    <t>2</t>
  </si>
  <si>
    <t>Keep metadata columns stable; add/remove metadata only when needed.</t>
  </si>
  <si>
    <t>3</t>
  </si>
  <si>
    <t>Replace AN01–AN30 with the actual pipeline/analysis names.</t>
  </si>
  <si>
    <t>4</t>
  </si>
  <si>
    <t>Document each analysis in Analysis_Register.</t>
  </si>
  <si>
    <t>5</t>
  </si>
  <si>
    <t>Use the controlled statuses consistently.</t>
  </si>
  <si>
    <t>6</t>
  </si>
  <si>
    <t>Use Cohort_Summary to identify coverage and gaps.</t>
  </si>
  <si>
    <t>Sample_ID</t>
  </si>
  <si>
    <t>AN01</t>
  </si>
  <si>
    <t>AN02</t>
  </si>
  <si>
    <t>AN03</t>
  </si>
  <si>
    <t>AN04</t>
  </si>
  <si>
    <t>AN05</t>
  </si>
  <si>
    <t>AN06</t>
  </si>
  <si>
    <t>AN07</t>
  </si>
  <si>
    <t>AN08</t>
  </si>
  <si>
    <t>AN09</t>
  </si>
  <si>
    <t>AN10</t>
  </si>
  <si>
    <t>AN11</t>
  </si>
  <si>
    <t>AN12</t>
  </si>
  <si>
    <t>AN13</t>
  </si>
  <si>
    <t>AN14</t>
  </si>
  <si>
    <t>AN15</t>
  </si>
  <si>
    <t>AN16</t>
  </si>
  <si>
    <t>AN17</t>
  </si>
  <si>
    <t>AN18</t>
  </si>
  <si>
    <t>AN19</t>
  </si>
  <si>
    <t>AN20</t>
  </si>
  <si>
    <t>AN21</t>
  </si>
  <si>
    <t>AN22</t>
  </si>
  <si>
    <t>AN23</t>
  </si>
  <si>
    <t>AN24</t>
  </si>
  <si>
    <t>AN25</t>
  </si>
  <si>
    <t>AN26</t>
  </si>
  <si>
    <t>AN27</t>
  </si>
  <si>
    <t>AN28</t>
  </si>
  <si>
    <t>AN29</t>
  </si>
  <si>
    <t>AN30</t>
  </si>
  <si>
    <t>PAN-CANCER ANALYSIS REGISTER</t>
  </si>
  <si>
    <t>One row per pipeline/analysis. This is the analytical definition table used to interpret Sample_Matrix.</t>
  </si>
  <si>
    <t>Analysis_ID</t>
  </si>
  <si>
    <t>Analysis/Pipeline</t>
  </si>
  <si>
    <t>Category</t>
  </si>
  <si>
    <t>Scientific_Question</t>
  </si>
  <si>
    <t>Required_Input</t>
  </si>
  <si>
    <t>Expected_Output</t>
  </si>
  <si>
    <t>Validation_Status</t>
  </si>
  <si>
    <t>Thesis_Relevance</t>
  </si>
  <si>
    <t>Notes</t>
  </si>
  <si>
    <t>Not Assessed</t>
  </si>
  <si>
    <t>COHORT / ANALYSIS COVERAGE SUMMARY</t>
  </si>
  <si>
    <t>Once samples and analysis statuses are populated, this page summarizes analytical coverage and highlights where QC or execution gaps remain.</t>
  </si>
  <si>
    <t>Analysis</t>
  </si>
  <si>
    <t>Complete</t>
  </si>
  <si>
    <t>In Progress</t>
  </si>
  <si>
    <t>QC Needed</t>
  </si>
  <si>
    <t>Failed</t>
  </si>
  <si>
    <t>Exported</t>
  </si>
  <si>
    <t>Not Started</t>
  </si>
  <si>
    <t>Coverage %</t>
  </si>
  <si>
    <t>CONTROLLED STATUS DEFINITIONS</t>
  </si>
  <si>
    <t>Status</t>
  </si>
  <si>
    <t>Meaning</t>
  </si>
  <si>
    <t>Default interpretation</t>
  </si>
  <si>
    <t>No usable result has been generated.</t>
  </si>
  <si>
    <t>Do not count as completed.</t>
  </si>
  <si>
    <t>Analysis has started but final output is not available.</t>
  </si>
  <si>
    <t>Potentially recoverable work.</t>
  </si>
  <si>
    <t>Expected result exists and has been checked at the stated level.</t>
  </si>
  <si>
    <t>Available for thesis planning.</t>
  </si>
  <si>
    <t>Output exists but requires validation/review.</t>
  </si>
  <si>
    <t>Do not treat as final evidence yet.</t>
  </si>
  <si>
    <t>Execution failed or output is unusable.</t>
  </si>
  <si>
    <t>Requires troubleshooting or replacement.</t>
  </si>
  <si>
    <t>N/A</t>
  </si>
  <si>
    <t>Analysis does not apply to the sample.</t>
  </si>
  <si>
    <t>Exclude from coverage denominator when appropriate.</t>
  </si>
  <si>
    <t>Result has been transferred into the working project and is available for downstream work.</t>
  </si>
  <si>
    <t>Verify provenance before use.</t>
  </si>
  <si>
    <t>SSL171</t>
  </si>
  <si>
    <t>SSL132</t>
  </si>
  <si>
    <t>SSL133</t>
  </si>
  <si>
    <t>SSL58</t>
  </si>
  <si>
    <t>SSL59</t>
  </si>
  <si>
    <t>SSL137</t>
  </si>
  <si>
    <t>SSL44</t>
  </si>
  <si>
    <t>SSL64</t>
  </si>
  <si>
    <t>SSL66</t>
  </si>
  <si>
    <t>SSL187</t>
  </si>
  <si>
    <t>SSL188</t>
  </si>
  <si>
    <t>SSL189</t>
  </si>
  <si>
    <t>SSL153</t>
  </si>
  <si>
    <t>SSL154</t>
  </si>
  <si>
    <t>SSL155</t>
  </si>
  <si>
    <t>SLL232</t>
  </si>
  <si>
    <t>SSL233</t>
  </si>
  <si>
    <t>SSL234</t>
  </si>
  <si>
    <t>SSL295</t>
  </si>
  <si>
    <t>SSL296</t>
  </si>
  <si>
    <t>SSL297</t>
  </si>
  <si>
    <t>SSL1</t>
  </si>
  <si>
    <t>SSL62</t>
  </si>
  <si>
    <t>SSL63</t>
  </si>
  <si>
    <t>SSL206</t>
  </si>
  <si>
    <t>SSL339</t>
  </si>
  <si>
    <t>SSL235</t>
  </si>
  <si>
    <t>SSL236</t>
  </si>
  <si>
    <t>SSL361</t>
  </si>
  <si>
    <t>SSL113</t>
  </si>
  <si>
    <t>SSL114</t>
  </si>
  <si>
    <t>SSL164</t>
  </si>
  <si>
    <t>SSL190</t>
  </si>
  <si>
    <t>SSL24</t>
  </si>
  <si>
    <t>SSL31</t>
  </si>
  <si>
    <t>SSL157</t>
  </si>
  <si>
    <t>SSL159</t>
  </si>
  <si>
    <t>SSL160</t>
  </si>
  <si>
    <t>SSL208</t>
  </si>
  <si>
    <t>SSL172</t>
  </si>
  <si>
    <t>SSL85</t>
  </si>
  <si>
    <t>SSL86</t>
  </si>
  <si>
    <t>SSL94</t>
  </si>
  <si>
    <t>SSL134</t>
  </si>
  <si>
    <t>SSL168</t>
  </si>
  <si>
    <t>SSL142</t>
  </si>
  <si>
    <t>SSL143</t>
  </si>
  <si>
    <t>SSL144</t>
  </si>
  <si>
    <t>SSL158</t>
  </si>
  <si>
    <t>SSL167</t>
  </si>
  <si>
    <t>SSL46</t>
  </si>
  <si>
    <t>SSL50</t>
  </si>
  <si>
    <t>SSL273</t>
  </si>
  <si>
    <t>SSL109</t>
  </si>
  <si>
    <t>SSL110</t>
  </si>
  <si>
    <t>SSL17</t>
  </si>
  <si>
    <t>SSL15</t>
  </si>
  <si>
    <t>SSL16</t>
  </si>
  <si>
    <t>SSL18</t>
  </si>
  <si>
    <t>SSL146</t>
  </si>
  <si>
    <t>SSL147</t>
  </si>
  <si>
    <t>SSL148</t>
  </si>
  <si>
    <t>SSL161</t>
  </si>
  <si>
    <t>SSL165</t>
  </si>
  <si>
    <t>SSL166</t>
  </si>
  <si>
    <t>SSL26</t>
  </si>
  <si>
    <t>SSL28</t>
  </si>
  <si>
    <t>SSL29</t>
  </si>
  <si>
    <t>SSL21</t>
  </si>
  <si>
    <t>SSL240</t>
  </si>
  <si>
    <t>SSL242</t>
  </si>
  <si>
    <t>SSL19</t>
  </si>
  <si>
    <t>SSL152</t>
  </si>
  <si>
    <t>SSL162</t>
  </si>
  <si>
    <t>SSL163</t>
  </si>
  <si>
    <t>SSL30</t>
  </si>
  <si>
    <t>SSL116</t>
  </si>
  <si>
    <t>SSL68</t>
  </si>
  <si>
    <t>SSL69</t>
  </si>
  <si>
    <t>SSL70</t>
  </si>
  <si>
    <t>SSL156</t>
  </si>
  <si>
    <t>SSL169</t>
  </si>
  <si>
    <t>SSL170</t>
  </si>
  <si>
    <t>SSL67</t>
  </si>
  <si>
    <t>SSL135</t>
  </si>
  <si>
    <t>AIN</t>
  </si>
  <si>
    <t>ATLL</t>
  </si>
  <si>
    <t>BC</t>
  </si>
  <si>
    <t>BCL</t>
  </si>
  <si>
    <t>CC</t>
  </si>
  <si>
    <t>CCA</t>
  </si>
  <si>
    <t>CLL</t>
  </si>
  <si>
    <t>CP</t>
  </si>
  <si>
    <t>CRC</t>
  </si>
  <si>
    <t>DMG</t>
  </si>
  <si>
    <t>EC</t>
  </si>
  <si>
    <t>EEC</t>
  </si>
  <si>
    <t>GBM</t>
  </si>
  <si>
    <t>GC</t>
  </si>
  <si>
    <t>GEJ</t>
  </si>
  <si>
    <t>HCC</t>
  </si>
  <si>
    <t>HNSCC</t>
  </si>
  <si>
    <t>LC</t>
  </si>
  <si>
    <t>Mel</t>
  </si>
  <si>
    <t>MM</t>
  </si>
  <si>
    <t>MPNST</t>
  </si>
  <si>
    <t>OC</t>
  </si>
  <si>
    <t>PC</t>
  </si>
  <si>
    <t>PDAC</t>
  </si>
  <si>
    <t>RCC</t>
  </si>
  <si>
    <t>RMC</t>
  </si>
  <si>
    <t>TC</t>
  </si>
  <si>
    <t>TCL</t>
  </si>
  <si>
    <t>TNBC</t>
  </si>
  <si>
    <t>UC</t>
  </si>
  <si>
    <t>UVM</t>
  </si>
  <si>
    <t>PDX</t>
  </si>
  <si>
    <t>Cell pellet</t>
  </si>
  <si>
    <t>Patient tissue</t>
  </si>
  <si>
    <t>PBMC</t>
  </si>
  <si>
    <t>Tissue</t>
  </si>
  <si>
    <t xml:space="preserve">Cell line </t>
  </si>
  <si>
    <t>Organoid</t>
  </si>
  <si>
    <t>cell suspension</t>
  </si>
  <si>
    <t>LR-RNA</t>
  </si>
  <si>
    <t>SR-RNA</t>
  </si>
  <si>
    <t>Available</t>
  </si>
  <si>
    <t>The data is available for that omic and sample</t>
  </si>
  <si>
    <t>Check the analysis status</t>
  </si>
  <si>
    <t>Not Available</t>
  </si>
  <si>
    <t>The data is not available for that omic and sample</t>
  </si>
  <si>
    <t>LR-WGS</t>
  </si>
  <si>
    <t>SR-WGS</t>
  </si>
  <si>
    <t>WES</t>
  </si>
  <si>
    <t>IP_MHC1</t>
  </si>
  <si>
    <t>IP_MHC2</t>
  </si>
  <si>
    <t>Tumor_TAvailablepe</t>
  </si>
  <si>
    <t>Sample_TAvailablepe</t>
  </si>
  <si>
    <t>Not Availableet</t>
  </si>
  <si>
    <t>Not available</t>
  </si>
  <si>
    <t>SAMPLE × ANALAYSIS STATUS MATRIX</t>
  </si>
  <si>
    <t>ANALYSIS OMICS DEFINITIONS</t>
  </si>
  <si>
    <t>Long read RNA sequencing from PacBio</t>
  </si>
  <si>
    <t>Short read RNA sequencing from Illumina</t>
  </si>
  <si>
    <t>Long read Whole Genome Sequencing from Pacbio</t>
  </si>
  <si>
    <t>Short read Whole Genome Sequencing from Illumina</t>
  </si>
  <si>
    <t>Whole Exome Sequencing</t>
  </si>
  <si>
    <t xml:space="preserve">Immunopeptidomics through CR343 antibody targetting HLA-II elution with Data Dependent Acquisition method. </t>
  </si>
  <si>
    <t xml:space="preserve">Immunopeptidomics through W632 antibody targetting HLA-I elution with Data Dependent Acquisition method. </t>
  </si>
  <si>
    <t xml:space="preserve"> </t>
  </si>
  <si>
    <t>IsoSplit</t>
  </si>
  <si>
    <t>Demultiplex, trim and orient PacBio long-read RNAseq reads</t>
  </si>
  <si>
    <t>Circular Consensus reads BAM file</t>
  </si>
  <si>
    <t>Demultiplexed, trimmed and oriented PacBio long-read RNAseq reads</t>
  </si>
  <si>
    <t>NeoLR-Isoform analysis</t>
  </si>
  <si>
    <t>Identify and classify full-length isoforms</t>
  </si>
  <si>
    <t>Isoforms structure (GTF) and classifications (TXT)</t>
  </si>
  <si>
    <t>NeoLR-ORF translation</t>
  </si>
  <si>
    <t>Translate the RNA reads to protein using canonical start-stop codons</t>
  </si>
  <si>
    <t>Translated reads ORFs (FASTA)</t>
  </si>
  <si>
    <t>NeoSR-repeat masker</t>
  </si>
  <si>
    <t>NeoSR-ORF translation</t>
  </si>
  <si>
    <t>NeoCLR-Isoform analysis</t>
  </si>
  <si>
    <t>NeoCLR-ORF translation</t>
  </si>
  <si>
    <t>Fragpipe</t>
  </si>
  <si>
    <t>IP_MHC1/2</t>
  </si>
  <si>
    <t>Casanovo</t>
  </si>
  <si>
    <t>NeoScore</t>
  </si>
  <si>
    <t>Predictions</t>
  </si>
  <si>
    <t>HLA Ligand Atlas</t>
  </si>
  <si>
    <t>HLA Typing</t>
  </si>
  <si>
    <t>Identify Repeat Elements from short-read RNA seq reads</t>
  </si>
  <si>
    <t>Raw reads (FASTQ)</t>
  </si>
  <si>
    <t>Detected repeat elements (FASTA and TXT)</t>
  </si>
  <si>
    <t>Identify and classify full-length isoforms using Long-reads corrected with matched short read</t>
  </si>
  <si>
    <t>SR-RNA raw reads (FASTQ) and CCS BAM LR-RNA</t>
  </si>
  <si>
    <t>Identify peptides presented by HLA-I using a patient specific database</t>
  </si>
  <si>
    <t>Database (From each omic) and IP (.raw for thermo, .d for bruker)</t>
  </si>
  <si>
    <t>peptides identified (TSV) file pre and after applying canonical filters</t>
  </si>
  <si>
    <t xml:space="preserve">Identify peptides presented by HLA-I/II using sequencing de novo </t>
  </si>
  <si>
    <t>IP (mzML) calibrated</t>
  </si>
  <si>
    <t xml:space="preserve">peptides identified (TSV) </t>
  </si>
  <si>
    <t>Run Binding Affinity, Elution Ligand and foreigness/dis2self predictions for a given list of antigens</t>
  </si>
  <si>
    <t>peptides (TSV)</t>
  </si>
  <si>
    <t>Peptides with predictions (TSV)</t>
  </si>
  <si>
    <t>Filter antigens matching healthy tissues IP data collected in the HLA Ligand Atlas database</t>
  </si>
  <si>
    <t>filtered peptides (TSV)</t>
  </si>
  <si>
    <t>Type the patient HLA alleles from either SR-RNA, LR-RNA or WES</t>
  </si>
  <si>
    <t>raw reads (FASTQ/BAM)</t>
  </si>
  <si>
    <t>HLA calls (CSV/TSV)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</si>
</sst>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name val="Carlito"/>
    </font>
    <font>
      <sz val="12"/>
      <color theme="1"/>
      <name val="Calibri"/>
      <family val="2"/>
      <scheme val="minor"/>
    </font>
    <font>
      <b/>
      <sz val="14"/>
      <color rgb="FFFFFFFF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9" tint="0.79998168889431442"/>
      </patternFill>
    </fill>
    <fill>
      <patternFill patternType="solid">
        <fgColor theme="3" tint="0.89999084444715716"/>
        <bgColor theme="9" tint="0.79998168889431442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968"/>
        <bgColor theme="9" tint="0.79998168889431442"/>
      </patternFill>
    </fill>
    <fill>
      <patternFill patternType="solid">
        <fgColor rgb="FFFF7968"/>
        <bgColor indexed="64"/>
      </patternFill>
    </fill>
    <fill>
      <patternFill patternType="solid">
        <fgColor rgb="FFFFC16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9" tint="0.39997558519241921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52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top" wrapText="1"/>
    </xf>
    <xf numFmtId="0" fontId="6" fillId="0" borderId="2" xfId="0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1" fillId="5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9" borderId="3" xfId="1" applyFont="1" applyFill="1" applyBorder="1" applyAlignment="1">
      <alignment horizontal="center" vertical="center"/>
    </xf>
    <xf numFmtId="0" fontId="7" fillId="10" borderId="3" xfId="1" applyFont="1" applyFill="1" applyBorder="1" applyAlignment="1">
      <alignment horizontal="center" vertical="center"/>
    </xf>
    <xf numFmtId="0" fontId="1" fillId="9" borderId="3" xfId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9" borderId="6" xfId="1" applyFill="1" applyBorder="1" applyAlignment="1">
      <alignment horizontal="center" vertical="center"/>
    </xf>
    <xf numFmtId="0" fontId="1" fillId="10" borderId="6" xfId="1" applyFill="1" applyBorder="1" applyAlignment="1">
      <alignment horizontal="center" vertical="center"/>
    </xf>
    <xf numFmtId="0" fontId="1" fillId="8" borderId="5" xfId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/>
    </xf>
    <xf numFmtId="0" fontId="6" fillId="14" borderId="2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5" fillId="16" borderId="2" xfId="0" applyFont="1" applyFill="1" applyBorder="1" applyAlignment="1">
      <alignment horizontal="center"/>
    </xf>
  </cellXfs>
  <cellStyles count="2">
    <cellStyle name="Normal" xfId="0" builtinId="0"/>
    <cellStyle name="Normal 2" xfId="1" xr:uid="{317F708B-9386-FD44-8408-A1127D26826A}"/>
  </cellStyles>
  <dxfs count="5">
    <dxf>
      <fill>
        <patternFill patternType="solid">
          <bgColor rgb="FFD9EAF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sqref="A1:H1"/>
    </sheetView>
  </sheetViews>
  <sheetFormatPr baseColWidth="10" defaultColWidth="8.83203125" defaultRowHeight="15"/>
  <cols>
    <col min="1" max="1" width="12" customWidth="1"/>
    <col min="2" max="2" width="72" customWidth="1"/>
  </cols>
  <sheetData>
    <row r="1" spans="1:8" ht="18">
      <c r="A1" s="4" t="s">
        <v>0</v>
      </c>
      <c r="B1" s="4"/>
      <c r="C1" s="4"/>
      <c r="D1" s="4"/>
      <c r="E1" s="4"/>
      <c r="F1" s="4"/>
      <c r="G1" s="4"/>
      <c r="H1" s="4"/>
    </row>
    <row r="3" spans="1:8">
      <c r="A3" s="5" t="s">
        <v>1</v>
      </c>
      <c r="B3" s="5"/>
      <c r="C3" s="5"/>
      <c r="D3" s="5"/>
      <c r="E3" s="5"/>
      <c r="F3" s="5"/>
      <c r="G3" s="5"/>
      <c r="H3" s="5"/>
    </row>
    <row r="5" spans="1:8" ht="16">
      <c r="A5" s="1" t="s">
        <v>2</v>
      </c>
      <c r="B5" s="1" t="s">
        <v>3</v>
      </c>
    </row>
    <row r="6" spans="1:8" ht="16">
      <c r="A6" s="2" t="s">
        <v>4</v>
      </c>
      <c r="B6" s="2" t="s">
        <v>5</v>
      </c>
    </row>
    <row r="7" spans="1:8" ht="16">
      <c r="A7" s="2" t="s">
        <v>6</v>
      </c>
      <c r="B7" s="2" t="s">
        <v>7</v>
      </c>
    </row>
    <row r="8" spans="1:8" ht="16">
      <c r="A8" s="2" t="s">
        <v>8</v>
      </c>
      <c r="B8" s="2" t="s">
        <v>9</v>
      </c>
    </row>
    <row r="9" spans="1:8" ht="16">
      <c r="A9" s="2" t="s">
        <v>10</v>
      </c>
      <c r="B9" s="2" t="s">
        <v>11</v>
      </c>
    </row>
    <row r="10" spans="1:8" ht="16">
      <c r="A10" s="2" t="s">
        <v>12</v>
      </c>
      <c r="B10" s="2" t="s">
        <v>13</v>
      </c>
    </row>
    <row r="11" spans="1:8" ht="16">
      <c r="A11" s="2" t="s">
        <v>14</v>
      </c>
      <c r="B11" s="2" t="s">
        <v>15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02"/>
  <sheetViews>
    <sheetView workbookViewId="0">
      <selection activeCell="K3" sqref="K3"/>
    </sheetView>
  </sheetViews>
  <sheetFormatPr baseColWidth="10" defaultColWidth="8.83203125" defaultRowHeight="15"/>
  <cols>
    <col min="1" max="10" width="16" customWidth="1"/>
    <col min="11" max="40" width="14" customWidth="1"/>
  </cols>
  <sheetData>
    <row r="1" spans="1:40" ht="18">
      <c r="A1" s="4" t="s">
        <v>228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32">
      <c r="A2" s="1" t="s">
        <v>16</v>
      </c>
      <c r="B2" s="1" t="s">
        <v>224</v>
      </c>
      <c r="C2" s="1" t="s">
        <v>225</v>
      </c>
      <c r="D2" s="1" t="s">
        <v>212</v>
      </c>
      <c r="E2" s="1" t="s">
        <v>213</v>
      </c>
      <c r="F2" s="1" t="s">
        <v>219</v>
      </c>
      <c r="G2" s="1" t="s">
        <v>220</v>
      </c>
      <c r="H2" s="1" t="s">
        <v>221</v>
      </c>
      <c r="I2" s="1" t="s">
        <v>222</v>
      </c>
      <c r="J2" s="1" t="s">
        <v>223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</row>
    <row r="3" spans="1:40" ht="16">
      <c r="A3" s="6" t="s">
        <v>88</v>
      </c>
      <c r="B3" s="6" t="s">
        <v>173</v>
      </c>
      <c r="C3" s="10" t="s">
        <v>204</v>
      </c>
      <c r="D3" s="47" t="s">
        <v>214</v>
      </c>
      <c r="E3" s="47" t="s">
        <v>214</v>
      </c>
      <c r="F3" s="8" t="s">
        <v>227</v>
      </c>
      <c r="G3" s="8" t="s">
        <v>227</v>
      </c>
      <c r="H3" s="8" t="s">
        <v>227</v>
      </c>
      <c r="I3" s="47" t="s">
        <v>214</v>
      </c>
      <c r="J3" s="8" t="s">
        <v>227</v>
      </c>
      <c r="K3" s="2" t="s">
        <v>237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6">
      <c r="A4" s="6" t="s">
        <v>89</v>
      </c>
      <c r="B4" s="6" t="s">
        <v>174</v>
      </c>
      <c r="C4" s="11" t="s">
        <v>205</v>
      </c>
      <c r="D4" s="47" t="s">
        <v>214</v>
      </c>
      <c r="E4" s="47" t="s">
        <v>214</v>
      </c>
      <c r="F4" s="8" t="s">
        <v>227</v>
      </c>
      <c r="G4" s="8" t="s">
        <v>227</v>
      </c>
      <c r="H4" s="8" t="s">
        <v>227</v>
      </c>
      <c r="I4" s="47" t="s">
        <v>214</v>
      </c>
      <c r="J4" s="8" t="s">
        <v>227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6">
      <c r="A5" s="6" t="s">
        <v>90</v>
      </c>
      <c r="B5" s="6" t="s">
        <v>174</v>
      </c>
      <c r="C5" s="12" t="s">
        <v>205</v>
      </c>
      <c r="D5" s="47" t="s">
        <v>214</v>
      </c>
      <c r="E5" s="47" t="s">
        <v>214</v>
      </c>
      <c r="F5" s="8" t="s">
        <v>227</v>
      </c>
      <c r="G5" s="8" t="s">
        <v>227</v>
      </c>
      <c r="H5" s="8" t="s">
        <v>227</v>
      </c>
      <c r="I5" s="47" t="s">
        <v>214</v>
      </c>
      <c r="J5" s="8" t="s">
        <v>227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16">
      <c r="A6" s="6" t="s">
        <v>91</v>
      </c>
      <c r="B6" s="6" t="s">
        <v>175</v>
      </c>
      <c r="C6" s="13" t="s">
        <v>204</v>
      </c>
      <c r="D6" s="47" t="s">
        <v>214</v>
      </c>
      <c r="E6" s="47" t="s">
        <v>214</v>
      </c>
      <c r="F6" s="47" t="s">
        <v>214</v>
      </c>
      <c r="G6" s="8" t="s">
        <v>227</v>
      </c>
      <c r="H6" s="8" t="s">
        <v>227</v>
      </c>
      <c r="I6" s="47" t="s">
        <v>214</v>
      </c>
      <c r="J6" s="8" t="s">
        <v>227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ht="16">
      <c r="A7" s="6" t="s">
        <v>92</v>
      </c>
      <c r="B7" s="6" t="s">
        <v>175</v>
      </c>
      <c r="C7" s="14" t="s">
        <v>204</v>
      </c>
      <c r="D7" s="47" t="s">
        <v>214</v>
      </c>
      <c r="E7" s="47" t="s">
        <v>214</v>
      </c>
      <c r="F7" s="8" t="s">
        <v>227</v>
      </c>
      <c r="G7" s="8" t="s">
        <v>227</v>
      </c>
      <c r="H7" s="8" t="s">
        <v>227</v>
      </c>
      <c r="I7" s="47" t="s">
        <v>214</v>
      </c>
      <c r="J7" s="8" t="s">
        <v>227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ht="16">
      <c r="A8" s="7" t="s">
        <v>93</v>
      </c>
      <c r="B8" s="6" t="s">
        <v>175</v>
      </c>
      <c r="C8" s="15" t="s">
        <v>206</v>
      </c>
      <c r="D8" s="47" t="s">
        <v>214</v>
      </c>
      <c r="E8" s="47" t="s">
        <v>214</v>
      </c>
      <c r="F8" s="8" t="s">
        <v>227</v>
      </c>
      <c r="G8" s="47" t="s">
        <v>214</v>
      </c>
      <c r="H8" s="47" t="s">
        <v>214</v>
      </c>
      <c r="I8" s="47" t="s">
        <v>214</v>
      </c>
      <c r="J8" s="8" t="s">
        <v>227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ht="16">
      <c r="A9" s="8" t="s">
        <v>94</v>
      </c>
      <c r="B9" s="6" t="s">
        <v>176</v>
      </c>
      <c r="C9" s="16" t="s">
        <v>205</v>
      </c>
      <c r="D9" s="47" t="s">
        <v>214</v>
      </c>
      <c r="E9" s="47" t="s">
        <v>214</v>
      </c>
      <c r="F9" s="8" t="s">
        <v>227</v>
      </c>
      <c r="G9" s="8" t="s">
        <v>227</v>
      </c>
      <c r="H9" s="47" t="s">
        <v>214</v>
      </c>
      <c r="I9" s="47" t="s">
        <v>214</v>
      </c>
      <c r="J9" s="47" t="s">
        <v>214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ht="16">
      <c r="A10" s="8" t="s">
        <v>95</v>
      </c>
      <c r="B10" s="6" t="s">
        <v>176</v>
      </c>
      <c r="C10" s="16" t="s">
        <v>205</v>
      </c>
      <c r="D10" s="47" t="s">
        <v>214</v>
      </c>
      <c r="E10" s="47" t="s">
        <v>214</v>
      </c>
      <c r="F10" s="8" t="s">
        <v>227</v>
      </c>
      <c r="G10" s="8" t="s">
        <v>227</v>
      </c>
      <c r="H10" s="47" t="s">
        <v>214</v>
      </c>
      <c r="I10" s="47" t="s">
        <v>214</v>
      </c>
      <c r="J10" s="47" t="s">
        <v>214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ht="16">
      <c r="A11" s="8" t="s">
        <v>96</v>
      </c>
      <c r="B11" s="6" t="s">
        <v>176</v>
      </c>
      <c r="C11" s="16" t="s">
        <v>205</v>
      </c>
      <c r="D11" s="47" t="s">
        <v>214</v>
      </c>
      <c r="E11" s="47" t="s">
        <v>214</v>
      </c>
      <c r="F11" s="8" t="s">
        <v>227</v>
      </c>
      <c r="G11" s="8" t="s">
        <v>227</v>
      </c>
      <c r="H11" s="47" t="s">
        <v>214</v>
      </c>
      <c r="I11" s="47" t="s">
        <v>214</v>
      </c>
      <c r="J11" s="8" t="s">
        <v>227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6">
      <c r="A12" s="6" t="s">
        <v>97</v>
      </c>
      <c r="B12" s="6" t="s">
        <v>177</v>
      </c>
      <c r="C12" s="17" t="s">
        <v>206</v>
      </c>
      <c r="D12" s="47" t="s">
        <v>214</v>
      </c>
      <c r="E12" s="47" t="s">
        <v>214</v>
      </c>
      <c r="F12" s="8" t="s">
        <v>227</v>
      </c>
      <c r="G12" s="49" t="s">
        <v>227</v>
      </c>
      <c r="H12" s="8" t="s">
        <v>227</v>
      </c>
      <c r="I12" s="47" t="s">
        <v>214</v>
      </c>
      <c r="J12" s="47" t="s">
        <v>214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ht="16">
      <c r="A13" s="6" t="s">
        <v>98</v>
      </c>
      <c r="B13" s="6" t="s">
        <v>177</v>
      </c>
      <c r="C13" s="18" t="s">
        <v>206</v>
      </c>
      <c r="D13" s="47" t="s">
        <v>214</v>
      </c>
      <c r="E13" s="47" t="s">
        <v>214</v>
      </c>
      <c r="F13" s="8" t="s">
        <v>227</v>
      </c>
      <c r="G13" s="8" t="s">
        <v>227</v>
      </c>
      <c r="H13" s="8" t="s">
        <v>227</v>
      </c>
      <c r="I13" s="47" t="s">
        <v>214</v>
      </c>
      <c r="J13" s="47" t="s">
        <v>214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ht="16">
      <c r="A14" s="6" t="s">
        <v>99</v>
      </c>
      <c r="B14" s="6" t="s">
        <v>177</v>
      </c>
      <c r="C14" s="17" t="s">
        <v>206</v>
      </c>
      <c r="D14" s="47" t="s">
        <v>214</v>
      </c>
      <c r="E14" s="47" t="s">
        <v>214</v>
      </c>
      <c r="F14" s="8" t="s">
        <v>227</v>
      </c>
      <c r="G14" s="8" t="s">
        <v>227</v>
      </c>
      <c r="H14" s="8" t="s">
        <v>227</v>
      </c>
      <c r="I14" s="47" t="s">
        <v>214</v>
      </c>
      <c r="J14" s="47" t="s">
        <v>214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ht="16">
      <c r="A15" s="6" t="s">
        <v>100</v>
      </c>
      <c r="B15" s="6" t="s">
        <v>178</v>
      </c>
      <c r="C15" s="14" t="s">
        <v>204</v>
      </c>
      <c r="D15" s="47" t="s">
        <v>214</v>
      </c>
      <c r="E15" s="47" t="s">
        <v>214</v>
      </c>
      <c r="F15" s="8" t="s">
        <v>227</v>
      </c>
      <c r="G15" s="8" t="s">
        <v>227</v>
      </c>
      <c r="H15" s="8" t="s">
        <v>227</v>
      </c>
      <c r="I15" s="47" t="s">
        <v>214</v>
      </c>
      <c r="J15" s="8" t="s">
        <v>227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ht="16">
      <c r="A16" s="6" t="s">
        <v>101</v>
      </c>
      <c r="B16" s="6" t="s">
        <v>178</v>
      </c>
      <c r="C16" s="13" t="s">
        <v>204</v>
      </c>
      <c r="D16" s="47" t="s">
        <v>214</v>
      </c>
      <c r="E16" s="47" t="s">
        <v>214</v>
      </c>
      <c r="F16" s="8" t="s">
        <v>227</v>
      </c>
      <c r="G16" s="8" t="s">
        <v>227</v>
      </c>
      <c r="H16" s="49" t="s">
        <v>227</v>
      </c>
      <c r="I16" s="47" t="s">
        <v>214</v>
      </c>
      <c r="J16" s="8" t="s">
        <v>227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ht="16">
      <c r="A17" s="6" t="s">
        <v>102</v>
      </c>
      <c r="B17" s="6" t="s">
        <v>178</v>
      </c>
      <c r="C17" s="14" t="s">
        <v>204</v>
      </c>
      <c r="D17" s="47" t="s">
        <v>214</v>
      </c>
      <c r="E17" s="47" t="s">
        <v>214</v>
      </c>
      <c r="F17" s="8" t="s">
        <v>227</v>
      </c>
      <c r="G17" s="8" t="s">
        <v>227</v>
      </c>
      <c r="H17" s="8" t="s">
        <v>227</v>
      </c>
      <c r="I17" s="47" t="s">
        <v>214</v>
      </c>
      <c r="J17" s="8" t="s">
        <v>227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ht="16">
      <c r="A18" s="6" t="s">
        <v>103</v>
      </c>
      <c r="B18" s="6" t="s">
        <v>179</v>
      </c>
      <c r="C18" s="19" t="s">
        <v>207</v>
      </c>
      <c r="D18" s="47" t="s">
        <v>214</v>
      </c>
      <c r="E18" s="8" t="s">
        <v>227</v>
      </c>
      <c r="F18" s="8" t="s">
        <v>227</v>
      </c>
      <c r="G18" s="8" t="s">
        <v>227</v>
      </c>
      <c r="H18" s="8" t="s">
        <v>227</v>
      </c>
      <c r="I18" s="8" t="s">
        <v>227</v>
      </c>
      <c r="J18" s="8" t="s">
        <v>227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ht="16">
      <c r="A19" s="6" t="s">
        <v>104</v>
      </c>
      <c r="B19" s="6" t="s">
        <v>179</v>
      </c>
      <c r="C19" s="20" t="s">
        <v>207</v>
      </c>
      <c r="D19" s="47" t="s">
        <v>214</v>
      </c>
      <c r="E19" s="47" t="s">
        <v>214</v>
      </c>
      <c r="F19" s="8" t="s">
        <v>227</v>
      </c>
      <c r="G19" s="8" t="s">
        <v>227</v>
      </c>
      <c r="H19" s="8" t="s">
        <v>227</v>
      </c>
      <c r="I19" s="47" t="s">
        <v>214</v>
      </c>
      <c r="J19" s="8" t="s">
        <v>227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ht="16">
      <c r="A20" s="6" t="s">
        <v>105</v>
      </c>
      <c r="B20" s="6" t="s">
        <v>179</v>
      </c>
      <c r="C20" s="19" t="s">
        <v>207</v>
      </c>
      <c r="D20" s="47" t="s">
        <v>214</v>
      </c>
      <c r="E20" s="47" t="s">
        <v>214</v>
      </c>
      <c r="F20" s="8" t="s">
        <v>227</v>
      </c>
      <c r="G20" s="8" t="s">
        <v>227</v>
      </c>
      <c r="H20" s="8" t="s">
        <v>227</v>
      </c>
      <c r="I20" s="47" t="s">
        <v>214</v>
      </c>
      <c r="J20" s="8" t="s">
        <v>227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ht="16">
      <c r="A21" s="6" t="s">
        <v>106</v>
      </c>
      <c r="B21" s="6" t="s">
        <v>180</v>
      </c>
      <c r="C21" s="21" t="s">
        <v>208</v>
      </c>
      <c r="D21" s="47" t="s">
        <v>214</v>
      </c>
      <c r="E21" s="47" t="s">
        <v>214</v>
      </c>
      <c r="F21" s="8" t="s">
        <v>227</v>
      </c>
      <c r="G21" s="8" t="s">
        <v>227</v>
      </c>
      <c r="H21" s="47" t="s">
        <v>214</v>
      </c>
      <c r="I21" s="47" t="s">
        <v>214</v>
      </c>
      <c r="J21" s="8" t="s">
        <v>227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ht="16">
      <c r="A22" s="6" t="s">
        <v>107</v>
      </c>
      <c r="B22" s="6" t="s">
        <v>180</v>
      </c>
      <c r="C22" s="22" t="s">
        <v>208</v>
      </c>
      <c r="D22" s="47" t="s">
        <v>214</v>
      </c>
      <c r="E22" s="47" t="s">
        <v>214</v>
      </c>
      <c r="F22" s="8" t="s">
        <v>227</v>
      </c>
      <c r="G22" s="8" t="s">
        <v>227</v>
      </c>
      <c r="H22" s="47" t="s">
        <v>214</v>
      </c>
      <c r="I22" s="47" t="s">
        <v>214</v>
      </c>
      <c r="J22" s="8" t="s">
        <v>227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">
      <c r="A23" s="6" t="s">
        <v>108</v>
      </c>
      <c r="B23" s="6" t="s">
        <v>180</v>
      </c>
      <c r="C23" s="21" t="s">
        <v>208</v>
      </c>
      <c r="D23" s="47" t="s">
        <v>214</v>
      </c>
      <c r="E23" s="47" t="s">
        <v>214</v>
      </c>
      <c r="F23" s="8" t="s">
        <v>227</v>
      </c>
      <c r="G23" s="8" t="s">
        <v>227</v>
      </c>
      <c r="H23" s="47" t="s">
        <v>214</v>
      </c>
      <c r="I23" s="47" t="s">
        <v>214</v>
      </c>
      <c r="J23" s="8" t="s">
        <v>227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">
      <c r="A24" s="6" t="s">
        <v>109</v>
      </c>
      <c r="B24" s="6" t="s">
        <v>181</v>
      </c>
      <c r="C24" s="23" t="s">
        <v>206</v>
      </c>
      <c r="D24" s="47" t="s">
        <v>214</v>
      </c>
      <c r="E24" s="47" t="s">
        <v>214</v>
      </c>
      <c r="F24" s="47" t="s">
        <v>214</v>
      </c>
      <c r="G24" s="8" t="s">
        <v>227</v>
      </c>
      <c r="H24" s="8" t="s">
        <v>227</v>
      </c>
      <c r="I24" s="47" t="s">
        <v>214</v>
      </c>
      <c r="J24" s="47" t="s">
        <v>214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">
      <c r="A25" s="6" t="s">
        <v>110</v>
      </c>
      <c r="B25" s="6" t="s">
        <v>181</v>
      </c>
      <c r="C25" s="24" t="s">
        <v>206</v>
      </c>
      <c r="D25" s="47" t="s">
        <v>214</v>
      </c>
      <c r="E25" s="47" t="s">
        <v>214</v>
      </c>
      <c r="F25" s="8" t="s">
        <v>227</v>
      </c>
      <c r="G25" s="8" t="s">
        <v>227</v>
      </c>
      <c r="H25" s="8" t="s">
        <v>227</v>
      </c>
      <c r="I25" s="47" t="s">
        <v>214</v>
      </c>
      <c r="J25" s="8" t="s">
        <v>227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">
      <c r="A26" s="6" t="s">
        <v>111</v>
      </c>
      <c r="B26" s="6" t="s">
        <v>181</v>
      </c>
      <c r="C26" s="15" t="s">
        <v>206</v>
      </c>
      <c r="D26" s="47" t="s">
        <v>214</v>
      </c>
      <c r="E26" s="47" t="s">
        <v>214</v>
      </c>
      <c r="F26" s="47" t="s">
        <v>214</v>
      </c>
      <c r="G26" s="8" t="s">
        <v>227</v>
      </c>
      <c r="H26" s="8" t="s">
        <v>227</v>
      </c>
      <c r="I26" s="47" t="s">
        <v>214</v>
      </c>
      <c r="J26" s="8" t="s">
        <v>227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">
      <c r="A27" s="6" t="s">
        <v>112</v>
      </c>
      <c r="B27" s="6" t="s">
        <v>182</v>
      </c>
      <c r="C27" s="16" t="s">
        <v>209</v>
      </c>
      <c r="D27" s="47" t="s">
        <v>214</v>
      </c>
      <c r="E27" s="47" t="s">
        <v>214</v>
      </c>
      <c r="F27" s="47" t="s">
        <v>214</v>
      </c>
      <c r="G27" s="8" t="s">
        <v>226</v>
      </c>
      <c r="H27" s="47" t="s">
        <v>214</v>
      </c>
      <c r="I27" s="47" t="s">
        <v>214</v>
      </c>
      <c r="J27" s="8" t="s">
        <v>227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">
      <c r="A28" s="6" t="s">
        <v>113</v>
      </c>
      <c r="B28" s="6" t="s">
        <v>182</v>
      </c>
      <c r="C28" s="25" t="s">
        <v>209</v>
      </c>
      <c r="D28" s="47" t="s">
        <v>214</v>
      </c>
      <c r="E28" s="47" t="s">
        <v>214</v>
      </c>
      <c r="F28" s="8" t="s">
        <v>227</v>
      </c>
      <c r="G28" s="8" t="s">
        <v>227</v>
      </c>
      <c r="H28" s="47" t="s">
        <v>214</v>
      </c>
      <c r="I28" s="8" t="s">
        <v>227</v>
      </c>
      <c r="J28" s="8" t="s">
        <v>227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">
      <c r="A29" s="6" t="s">
        <v>114</v>
      </c>
      <c r="B29" s="6" t="s">
        <v>182</v>
      </c>
      <c r="C29" s="25" t="s">
        <v>209</v>
      </c>
      <c r="D29" s="47" t="s">
        <v>214</v>
      </c>
      <c r="E29" s="47" t="s">
        <v>214</v>
      </c>
      <c r="F29" s="8" t="s">
        <v>227</v>
      </c>
      <c r="G29" s="47" t="s">
        <v>214</v>
      </c>
      <c r="H29" s="47" t="s">
        <v>214</v>
      </c>
      <c r="I29" s="47" t="s">
        <v>214</v>
      </c>
      <c r="J29" s="8" t="s">
        <v>227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6">
      <c r="A30" s="6" t="s">
        <v>115</v>
      </c>
      <c r="B30" s="6" t="s">
        <v>182</v>
      </c>
      <c r="C30" s="16" t="s">
        <v>209</v>
      </c>
      <c r="D30" s="47" t="s">
        <v>214</v>
      </c>
      <c r="E30" s="47" t="s">
        <v>214</v>
      </c>
      <c r="F30" s="8" t="s">
        <v>227</v>
      </c>
      <c r="G30" s="47" t="s">
        <v>214</v>
      </c>
      <c r="H30" s="47" t="s">
        <v>214</v>
      </c>
      <c r="I30" s="8" t="s">
        <v>227</v>
      </c>
      <c r="J30" s="8" t="s">
        <v>227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6">
      <c r="A31" s="6" t="s">
        <v>116</v>
      </c>
      <c r="B31" s="6" t="s">
        <v>182</v>
      </c>
      <c r="C31" s="16" t="s">
        <v>209</v>
      </c>
      <c r="D31" s="47" t="s">
        <v>214</v>
      </c>
      <c r="E31" s="47" t="s">
        <v>214</v>
      </c>
      <c r="F31" s="8" t="s">
        <v>227</v>
      </c>
      <c r="G31" s="47" t="s">
        <v>214</v>
      </c>
      <c r="H31" s="8" t="s">
        <v>226</v>
      </c>
      <c r="I31" s="8" t="s">
        <v>227</v>
      </c>
      <c r="J31" s="8" t="s">
        <v>227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17">
      <c r="A32" s="9" t="s">
        <v>117</v>
      </c>
      <c r="B32" s="6" t="s">
        <v>183</v>
      </c>
      <c r="C32" s="16" t="s">
        <v>205</v>
      </c>
      <c r="D32" s="47" t="s">
        <v>214</v>
      </c>
      <c r="E32" s="47" t="s">
        <v>214</v>
      </c>
      <c r="F32" s="47" t="s">
        <v>214</v>
      </c>
      <c r="G32" s="8" t="s">
        <v>227</v>
      </c>
      <c r="H32" s="8" t="s">
        <v>227</v>
      </c>
      <c r="I32" s="47" t="s">
        <v>214</v>
      </c>
      <c r="J32" s="8" t="s">
        <v>227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7">
      <c r="A33" s="9" t="s">
        <v>118</v>
      </c>
      <c r="B33" s="6" t="s">
        <v>183</v>
      </c>
      <c r="C33" s="25" t="s">
        <v>205</v>
      </c>
      <c r="D33" s="47" t="s">
        <v>214</v>
      </c>
      <c r="E33" s="47" t="s">
        <v>214</v>
      </c>
      <c r="F33" s="47" t="s">
        <v>214</v>
      </c>
      <c r="G33" s="8" t="s">
        <v>227</v>
      </c>
      <c r="H33" s="8" t="s">
        <v>227</v>
      </c>
      <c r="I33" s="47" t="s">
        <v>214</v>
      </c>
      <c r="J33" s="8" t="s">
        <v>227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6">
      <c r="A34" s="6" t="s">
        <v>119</v>
      </c>
      <c r="B34" s="6" t="s">
        <v>184</v>
      </c>
      <c r="C34" s="13" t="s">
        <v>204</v>
      </c>
      <c r="D34" s="47" t="s">
        <v>214</v>
      </c>
      <c r="E34" s="47" t="s">
        <v>214</v>
      </c>
      <c r="F34" s="8" t="s">
        <v>227</v>
      </c>
      <c r="G34" s="8" t="s">
        <v>227</v>
      </c>
      <c r="H34" s="8" t="s">
        <v>227</v>
      </c>
      <c r="I34" s="8" t="s">
        <v>227</v>
      </c>
      <c r="J34" s="8" t="s">
        <v>227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ht="16">
      <c r="A35" s="6" t="s">
        <v>120</v>
      </c>
      <c r="B35" s="6" t="s">
        <v>184</v>
      </c>
      <c r="C35" s="18" t="s">
        <v>206</v>
      </c>
      <c r="D35" s="47" t="s">
        <v>214</v>
      </c>
      <c r="E35" s="47" t="s">
        <v>214</v>
      </c>
      <c r="F35" s="8" t="s">
        <v>227</v>
      </c>
      <c r="G35" s="8" t="s">
        <v>227</v>
      </c>
      <c r="H35" s="8" t="s">
        <v>227</v>
      </c>
      <c r="I35" s="47" t="s">
        <v>214</v>
      </c>
      <c r="J35" s="8" t="s">
        <v>227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 ht="16">
      <c r="A36" s="6" t="s">
        <v>121</v>
      </c>
      <c r="B36" s="6" t="s">
        <v>185</v>
      </c>
      <c r="C36" s="25" t="s">
        <v>205</v>
      </c>
      <c r="D36" s="47" t="s">
        <v>214</v>
      </c>
      <c r="E36" s="47" t="s">
        <v>214</v>
      </c>
      <c r="F36" s="47" t="s">
        <v>214</v>
      </c>
      <c r="G36" s="8" t="s">
        <v>227</v>
      </c>
      <c r="H36" s="8" t="s">
        <v>227</v>
      </c>
      <c r="I36" s="8" t="s">
        <v>227</v>
      </c>
      <c r="J36" s="8" t="s">
        <v>227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6">
      <c r="A37" s="6" t="s">
        <v>122</v>
      </c>
      <c r="B37" s="6" t="s">
        <v>185</v>
      </c>
      <c r="C37" s="16" t="s">
        <v>205</v>
      </c>
      <c r="D37" s="47" t="s">
        <v>214</v>
      </c>
      <c r="E37" s="47" t="s">
        <v>214</v>
      </c>
      <c r="F37" s="47" t="s">
        <v>214</v>
      </c>
      <c r="G37" s="8" t="s">
        <v>227</v>
      </c>
      <c r="H37" s="8" t="s">
        <v>227</v>
      </c>
      <c r="I37" s="47" t="s">
        <v>214</v>
      </c>
      <c r="J37" s="8" t="s">
        <v>227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6">
      <c r="A38" s="6" t="s">
        <v>123</v>
      </c>
      <c r="B38" s="6" t="s">
        <v>186</v>
      </c>
      <c r="C38" s="13" t="s">
        <v>204</v>
      </c>
      <c r="D38" s="47" t="s">
        <v>214</v>
      </c>
      <c r="E38" s="47" t="s">
        <v>214</v>
      </c>
      <c r="F38" s="8" t="s">
        <v>227</v>
      </c>
      <c r="G38" s="8" t="s">
        <v>227</v>
      </c>
      <c r="H38" s="8" t="s">
        <v>227</v>
      </c>
      <c r="I38" s="47" t="s">
        <v>214</v>
      </c>
      <c r="J38" s="8" t="s">
        <v>227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16">
      <c r="A39" s="6" t="s">
        <v>124</v>
      </c>
      <c r="B39" s="6" t="s">
        <v>186</v>
      </c>
      <c r="C39" s="14" t="s">
        <v>204</v>
      </c>
      <c r="D39" s="47" t="s">
        <v>214</v>
      </c>
      <c r="E39" s="47" t="s">
        <v>214</v>
      </c>
      <c r="F39" s="8" t="s">
        <v>227</v>
      </c>
      <c r="G39" s="8" t="s">
        <v>227</v>
      </c>
      <c r="H39" s="8" t="s">
        <v>227</v>
      </c>
      <c r="I39" s="47" t="s">
        <v>214</v>
      </c>
      <c r="J39" s="8" t="s">
        <v>227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6">
      <c r="A40" s="6" t="s">
        <v>125</v>
      </c>
      <c r="B40" s="6" t="s">
        <v>186</v>
      </c>
      <c r="C40" s="13" t="s">
        <v>204</v>
      </c>
      <c r="D40" s="47" t="s">
        <v>214</v>
      </c>
      <c r="E40" s="47" t="s">
        <v>214</v>
      </c>
      <c r="F40" s="8" t="s">
        <v>227</v>
      </c>
      <c r="G40" s="8" t="s">
        <v>227</v>
      </c>
      <c r="H40" s="8" t="s">
        <v>227</v>
      </c>
      <c r="I40" s="47" t="s">
        <v>214</v>
      </c>
      <c r="J40" s="8" t="s">
        <v>227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">
      <c r="A41" s="6" t="s">
        <v>126</v>
      </c>
      <c r="B41" s="6" t="s">
        <v>186</v>
      </c>
      <c r="C41" s="26" t="s">
        <v>210</v>
      </c>
      <c r="D41" s="47" t="s">
        <v>214</v>
      </c>
      <c r="E41" s="8" t="s">
        <v>227</v>
      </c>
      <c r="F41" s="8" t="s">
        <v>227</v>
      </c>
      <c r="G41" s="8" t="s">
        <v>227</v>
      </c>
      <c r="H41" s="8" t="s">
        <v>227</v>
      </c>
      <c r="I41" s="47" t="s">
        <v>214</v>
      </c>
      <c r="J41" s="8" t="s">
        <v>227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">
      <c r="A42" s="6" t="s">
        <v>127</v>
      </c>
      <c r="B42" s="6" t="s">
        <v>187</v>
      </c>
      <c r="C42" s="27" t="s">
        <v>204</v>
      </c>
      <c r="D42" s="47" t="s">
        <v>214</v>
      </c>
      <c r="E42" s="47" t="s">
        <v>214</v>
      </c>
      <c r="F42" s="8" t="s">
        <v>227</v>
      </c>
      <c r="G42" s="8" t="s">
        <v>227</v>
      </c>
      <c r="H42" s="8" t="s">
        <v>227</v>
      </c>
      <c r="I42" s="47" t="s">
        <v>214</v>
      </c>
      <c r="J42" s="8" t="s">
        <v>227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">
      <c r="A43" s="6" t="s">
        <v>128</v>
      </c>
      <c r="B43" s="6" t="s">
        <v>188</v>
      </c>
      <c r="C43" s="28" t="s">
        <v>206</v>
      </c>
      <c r="D43" s="47" t="s">
        <v>214</v>
      </c>
      <c r="E43" s="47" t="s">
        <v>214</v>
      </c>
      <c r="F43" s="47" t="s">
        <v>214</v>
      </c>
      <c r="G43" s="8" t="s">
        <v>227</v>
      </c>
      <c r="H43" s="8" t="s">
        <v>227</v>
      </c>
      <c r="I43" s="47" t="s">
        <v>214</v>
      </c>
      <c r="J43" s="8" t="s">
        <v>227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">
      <c r="A44" s="6" t="s">
        <v>129</v>
      </c>
      <c r="B44" s="6" t="s">
        <v>188</v>
      </c>
      <c r="C44" s="29" t="s">
        <v>206</v>
      </c>
      <c r="D44" s="8" t="s">
        <v>227</v>
      </c>
      <c r="E44" s="8" t="s">
        <v>227</v>
      </c>
      <c r="F44" s="8" t="s">
        <v>227</v>
      </c>
      <c r="G44" s="8" t="s">
        <v>227</v>
      </c>
      <c r="H44" s="8" t="s">
        <v>227</v>
      </c>
      <c r="I44" s="47" t="s">
        <v>214</v>
      </c>
      <c r="J44" s="8" t="s">
        <v>227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">
      <c r="A45" s="6" t="s">
        <v>130</v>
      </c>
      <c r="B45" s="6" t="s">
        <v>188</v>
      </c>
      <c r="C45" s="30" t="s">
        <v>205</v>
      </c>
      <c r="D45" s="47" t="s">
        <v>214</v>
      </c>
      <c r="E45" s="47" t="s">
        <v>214</v>
      </c>
      <c r="F45" s="47" t="s">
        <v>214</v>
      </c>
      <c r="G45" s="8" t="s">
        <v>227</v>
      </c>
      <c r="H45" s="8" t="s">
        <v>227</v>
      </c>
      <c r="I45" s="47" t="s">
        <v>214</v>
      </c>
      <c r="J45" s="8" t="s">
        <v>227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">
      <c r="A46" s="6" t="s">
        <v>131</v>
      </c>
      <c r="B46" s="6" t="s">
        <v>188</v>
      </c>
      <c r="C46" s="31" t="s">
        <v>205</v>
      </c>
      <c r="D46" s="47" t="s">
        <v>214</v>
      </c>
      <c r="E46" s="47" t="s">
        <v>214</v>
      </c>
      <c r="F46" s="8" t="s">
        <v>226</v>
      </c>
      <c r="G46" s="8" t="s">
        <v>227</v>
      </c>
      <c r="H46" s="8" t="s">
        <v>227</v>
      </c>
      <c r="I46" s="47" t="s">
        <v>214</v>
      </c>
      <c r="J46" s="8" t="s">
        <v>227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">
      <c r="A47" s="6" t="s">
        <v>132</v>
      </c>
      <c r="B47" s="6" t="s">
        <v>189</v>
      </c>
      <c r="C47" s="27" t="s">
        <v>204</v>
      </c>
      <c r="D47" s="47" t="s">
        <v>214</v>
      </c>
      <c r="E47" s="47" t="s">
        <v>214</v>
      </c>
      <c r="F47" s="8" t="s">
        <v>227</v>
      </c>
      <c r="G47" s="8" t="s">
        <v>227</v>
      </c>
      <c r="H47" s="8" t="s">
        <v>227</v>
      </c>
      <c r="I47" s="47" t="s">
        <v>214</v>
      </c>
      <c r="J47" s="8" t="s">
        <v>227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">
      <c r="A48" s="6" t="s">
        <v>133</v>
      </c>
      <c r="B48" s="6" t="s">
        <v>190</v>
      </c>
      <c r="C48" s="32" t="s">
        <v>204</v>
      </c>
      <c r="D48" s="47" t="s">
        <v>214</v>
      </c>
      <c r="E48" s="47" t="s">
        <v>214</v>
      </c>
      <c r="F48" s="8" t="s">
        <v>227</v>
      </c>
      <c r="G48" s="8" t="s">
        <v>227</v>
      </c>
      <c r="H48" s="8" t="s">
        <v>227</v>
      </c>
      <c r="I48" s="47" t="s">
        <v>214</v>
      </c>
      <c r="J48" s="8" t="s">
        <v>227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">
      <c r="A49" s="6" t="s">
        <v>134</v>
      </c>
      <c r="B49" s="6" t="s">
        <v>190</v>
      </c>
      <c r="C49" s="33" t="s">
        <v>204</v>
      </c>
      <c r="D49" s="47" t="s">
        <v>214</v>
      </c>
      <c r="E49" s="47" t="s">
        <v>214</v>
      </c>
      <c r="F49" s="8" t="s">
        <v>227</v>
      </c>
      <c r="G49" s="8" t="s">
        <v>227</v>
      </c>
      <c r="H49" s="8" t="s">
        <v>227</v>
      </c>
      <c r="I49" s="47" t="s">
        <v>214</v>
      </c>
      <c r="J49" s="8" t="s">
        <v>227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">
      <c r="A50" s="6" t="s">
        <v>135</v>
      </c>
      <c r="B50" s="6" t="s">
        <v>190</v>
      </c>
      <c r="C50" s="34" t="s">
        <v>204</v>
      </c>
      <c r="D50" s="47" t="s">
        <v>214</v>
      </c>
      <c r="E50" s="47" t="s">
        <v>214</v>
      </c>
      <c r="F50" s="8" t="s">
        <v>227</v>
      </c>
      <c r="G50" s="8" t="s">
        <v>227</v>
      </c>
      <c r="H50" s="8" t="s">
        <v>227</v>
      </c>
      <c r="I50" s="47" t="s">
        <v>214</v>
      </c>
      <c r="J50" s="8" t="s">
        <v>227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">
      <c r="A51" s="6" t="s">
        <v>136</v>
      </c>
      <c r="B51" s="6" t="s">
        <v>191</v>
      </c>
      <c r="C51" s="34" t="s">
        <v>204</v>
      </c>
      <c r="D51" s="47" t="s">
        <v>214</v>
      </c>
      <c r="E51" s="47" t="s">
        <v>214</v>
      </c>
      <c r="F51" s="8" t="s">
        <v>227</v>
      </c>
      <c r="G51" s="8" t="s">
        <v>227</v>
      </c>
      <c r="H51" s="8" t="s">
        <v>227</v>
      </c>
      <c r="I51" s="47" t="s">
        <v>214</v>
      </c>
      <c r="J51" s="8" t="s">
        <v>227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">
      <c r="A52" s="6" t="s">
        <v>137</v>
      </c>
      <c r="B52" s="6" t="s">
        <v>191</v>
      </c>
      <c r="C52" s="33" t="s">
        <v>204</v>
      </c>
      <c r="D52" s="47" t="s">
        <v>214</v>
      </c>
      <c r="E52" s="47" t="s">
        <v>214</v>
      </c>
      <c r="F52" s="8" t="s">
        <v>227</v>
      </c>
      <c r="G52" s="8" t="s">
        <v>227</v>
      </c>
      <c r="H52" s="8" t="s">
        <v>227</v>
      </c>
      <c r="I52" s="47" t="s">
        <v>214</v>
      </c>
      <c r="J52" s="8" t="s">
        <v>227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">
      <c r="A53" s="6" t="s">
        <v>138</v>
      </c>
      <c r="B53" s="6" t="s">
        <v>192</v>
      </c>
      <c r="C53" s="35" t="s">
        <v>205</v>
      </c>
      <c r="D53" s="47" t="s">
        <v>214</v>
      </c>
      <c r="E53" s="47" t="s">
        <v>214</v>
      </c>
      <c r="F53" s="8" t="s">
        <v>227</v>
      </c>
      <c r="G53" s="8" t="s">
        <v>227</v>
      </c>
      <c r="H53" s="8" t="s">
        <v>227</v>
      </c>
      <c r="I53" s="47" t="s">
        <v>214</v>
      </c>
      <c r="J53" s="8" t="s">
        <v>227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">
      <c r="A54" s="6" t="s">
        <v>139</v>
      </c>
      <c r="B54" s="6" t="s">
        <v>192</v>
      </c>
      <c r="C54" s="36" t="s">
        <v>205</v>
      </c>
      <c r="D54" s="47" t="s">
        <v>214</v>
      </c>
      <c r="E54" s="47" t="s">
        <v>214</v>
      </c>
      <c r="F54" s="8" t="s">
        <v>227</v>
      </c>
      <c r="G54" s="8" t="s">
        <v>227</v>
      </c>
      <c r="H54" s="8" t="s">
        <v>227</v>
      </c>
      <c r="I54" s="47" t="s">
        <v>214</v>
      </c>
      <c r="J54" s="8" t="s">
        <v>227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">
      <c r="A55" s="6" t="s">
        <v>140</v>
      </c>
      <c r="B55" s="6" t="s">
        <v>192</v>
      </c>
      <c r="C55" s="37" t="s">
        <v>211</v>
      </c>
      <c r="D55" s="47" t="s">
        <v>214</v>
      </c>
      <c r="E55" s="8" t="s">
        <v>227</v>
      </c>
      <c r="F55" s="8" t="s">
        <v>227</v>
      </c>
      <c r="G55" s="47" t="s">
        <v>214</v>
      </c>
      <c r="H55" s="8" t="s">
        <v>227</v>
      </c>
      <c r="I55" s="8" t="s">
        <v>227</v>
      </c>
      <c r="J55" s="8" t="s">
        <v>227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">
      <c r="A56" s="6" t="s">
        <v>141</v>
      </c>
      <c r="B56" s="6" t="s">
        <v>193</v>
      </c>
      <c r="C56" s="35" t="s">
        <v>205</v>
      </c>
      <c r="D56" s="47" t="s">
        <v>214</v>
      </c>
      <c r="E56" s="47" t="s">
        <v>214</v>
      </c>
      <c r="F56" s="47" t="s">
        <v>214</v>
      </c>
      <c r="G56" s="8" t="s">
        <v>227</v>
      </c>
      <c r="H56" s="8" t="s">
        <v>227</v>
      </c>
      <c r="I56" s="47" t="s">
        <v>214</v>
      </c>
      <c r="J56" s="8" t="s">
        <v>227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">
      <c r="A57" s="6" t="s">
        <v>142</v>
      </c>
      <c r="B57" s="6" t="s">
        <v>193</v>
      </c>
      <c r="C57" s="38" t="s">
        <v>205</v>
      </c>
      <c r="D57" s="47" t="s">
        <v>214</v>
      </c>
      <c r="E57" s="47" t="s">
        <v>214</v>
      </c>
      <c r="F57" s="47" t="s">
        <v>214</v>
      </c>
      <c r="G57" s="8" t="s">
        <v>227</v>
      </c>
      <c r="H57" s="8" t="s">
        <v>227</v>
      </c>
      <c r="I57" s="47" t="s">
        <v>214</v>
      </c>
      <c r="J57" s="8" t="s">
        <v>227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">
      <c r="A58" s="6" t="s">
        <v>143</v>
      </c>
      <c r="B58" s="6" t="s">
        <v>193</v>
      </c>
      <c r="C58" s="35" t="s">
        <v>205</v>
      </c>
      <c r="D58" s="47" t="s">
        <v>214</v>
      </c>
      <c r="E58" s="47" t="s">
        <v>214</v>
      </c>
      <c r="F58" s="47" t="s">
        <v>214</v>
      </c>
      <c r="G58" s="8" t="s">
        <v>227</v>
      </c>
      <c r="H58" s="8" t="s">
        <v>227</v>
      </c>
      <c r="I58" s="8" t="s">
        <v>227</v>
      </c>
      <c r="J58" s="8" t="s">
        <v>227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">
      <c r="A59" s="6" t="s">
        <v>144</v>
      </c>
      <c r="B59" s="6" t="s">
        <v>193</v>
      </c>
      <c r="C59" s="35" t="s">
        <v>205</v>
      </c>
      <c r="D59" s="47" t="s">
        <v>214</v>
      </c>
      <c r="E59" s="47" t="s">
        <v>214</v>
      </c>
      <c r="F59" s="47" t="s">
        <v>214</v>
      </c>
      <c r="G59" s="8" t="s">
        <v>227</v>
      </c>
      <c r="H59" s="8" t="s">
        <v>227</v>
      </c>
      <c r="I59" s="47" t="s">
        <v>214</v>
      </c>
      <c r="J59" s="8" t="s">
        <v>227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">
      <c r="A60" s="6" t="s">
        <v>145</v>
      </c>
      <c r="B60" s="6" t="s">
        <v>193</v>
      </c>
      <c r="C60" s="38" t="s">
        <v>205</v>
      </c>
      <c r="D60" s="47" t="s">
        <v>214</v>
      </c>
      <c r="E60" s="47" t="s">
        <v>214</v>
      </c>
      <c r="F60" s="47" t="s">
        <v>214</v>
      </c>
      <c r="G60" s="8" t="s">
        <v>227</v>
      </c>
      <c r="H60" s="8" t="s">
        <v>227</v>
      </c>
      <c r="I60" s="47" t="s">
        <v>214</v>
      </c>
      <c r="J60" s="8" t="s">
        <v>227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">
      <c r="A61" s="6" t="s">
        <v>146</v>
      </c>
      <c r="B61" s="6" t="s">
        <v>193</v>
      </c>
      <c r="C61" s="38" t="s">
        <v>205</v>
      </c>
      <c r="D61" s="47" t="s">
        <v>214</v>
      </c>
      <c r="E61" s="47" t="s">
        <v>214</v>
      </c>
      <c r="F61" s="47" t="s">
        <v>214</v>
      </c>
      <c r="G61" s="8" t="s">
        <v>227</v>
      </c>
      <c r="H61" s="8" t="s">
        <v>227</v>
      </c>
      <c r="I61" s="8" t="s">
        <v>227</v>
      </c>
      <c r="J61" s="8" t="s">
        <v>227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">
      <c r="A62" s="6" t="s">
        <v>147</v>
      </c>
      <c r="B62" s="6" t="s">
        <v>194</v>
      </c>
      <c r="C62" s="39" t="s">
        <v>206</v>
      </c>
      <c r="D62" s="48" t="s">
        <v>214</v>
      </c>
      <c r="E62" s="48" t="s">
        <v>214</v>
      </c>
      <c r="F62" s="6" t="s">
        <v>227</v>
      </c>
      <c r="G62" s="6" t="s">
        <v>227</v>
      </c>
      <c r="H62" s="6" t="s">
        <v>227</v>
      </c>
      <c r="I62" s="48" t="s">
        <v>214</v>
      </c>
      <c r="J62" s="48" t="s">
        <v>214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">
      <c r="A63" s="6" t="s">
        <v>148</v>
      </c>
      <c r="B63" s="6" t="s">
        <v>194</v>
      </c>
      <c r="C63" s="40" t="s">
        <v>206</v>
      </c>
      <c r="D63" s="48" t="s">
        <v>214</v>
      </c>
      <c r="E63" s="48" t="s">
        <v>214</v>
      </c>
      <c r="F63" s="6" t="s">
        <v>227</v>
      </c>
      <c r="G63" s="6" t="s">
        <v>227</v>
      </c>
      <c r="H63" s="6" t="s">
        <v>227</v>
      </c>
      <c r="I63" s="48" t="s">
        <v>214</v>
      </c>
      <c r="J63" s="48" t="s">
        <v>214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">
      <c r="A64" s="6" t="s">
        <v>149</v>
      </c>
      <c r="B64" s="6" t="s">
        <v>194</v>
      </c>
      <c r="C64" s="39" t="s">
        <v>206</v>
      </c>
      <c r="D64" s="48" t="s">
        <v>214</v>
      </c>
      <c r="E64" s="48" t="s">
        <v>214</v>
      </c>
      <c r="F64" s="6" t="s">
        <v>227</v>
      </c>
      <c r="G64" s="6" t="s">
        <v>227</v>
      </c>
      <c r="H64" s="6" t="s">
        <v>227</v>
      </c>
      <c r="I64" s="48" t="s">
        <v>214</v>
      </c>
      <c r="J64" s="48" t="s">
        <v>214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">
      <c r="A65" s="6" t="s">
        <v>150</v>
      </c>
      <c r="B65" s="6" t="s">
        <v>195</v>
      </c>
      <c r="C65" s="34" t="s">
        <v>204</v>
      </c>
      <c r="D65" s="47" t="s">
        <v>214</v>
      </c>
      <c r="E65" s="47" t="s">
        <v>214</v>
      </c>
      <c r="F65" s="8" t="s">
        <v>227</v>
      </c>
      <c r="G65" s="8" t="s">
        <v>227</v>
      </c>
      <c r="H65" s="8" t="s">
        <v>227</v>
      </c>
      <c r="I65" s="47" t="s">
        <v>214</v>
      </c>
      <c r="J65" s="8" t="s">
        <v>227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">
      <c r="A66" s="6" t="s">
        <v>151</v>
      </c>
      <c r="B66" s="6" t="s">
        <v>195</v>
      </c>
      <c r="C66" s="33" t="s">
        <v>204</v>
      </c>
      <c r="D66" s="47" t="s">
        <v>214</v>
      </c>
      <c r="E66" s="47" t="s">
        <v>214</v>
      </c>
      <c r="F66" s="8" t="s">
        <v>227</v>
      </c>
      <c r="G66" s="8" t="s">
        <v>227</v>
      </c>
      <c r="H66" s="8" t="s">
        <v>227</v>
      </c>
      <c r="I66" s="47" t="s">
        <v>214</v>
      </c>
      <c r="J66" s="8" t="s">
        <v>227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">
      <c r="A67" s="6" t="s">
        <v>152</v>
      </c>
      <c r="B67" s="6" t="s">
        <v>195</v>
      </c>
      <c r="C67" s="41" t="s">
        <v>204</v>
      </c>
      <c r="D67" s="47" t="s">
        <v>214</v>
      </c>
      <c r="E67" s="47" t="s">
        <v>214</v>
      </c>
      <c r="F67" s="8" t="s">
        <v>227</v>
      </c>
      <c r="G67" s="8" t="s">
        <v>227</v>
      </c>
      <c r="H67" s="8" t="s">
        <v>227</v>
      </c>
      <c r="I67" s="47" t="s">
        <v>214</v>
      </c>
      <c r="J67" s="8" t="s">
        <v>227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">
      <c r="A68" s="6" t="s">
        <v>153</v>
      </c>
      <c r="B68" s="6" t="s">
        <v>196</v>
      </c>
      <c r="C68" s="25" t="s">
        <v>205</v>
      </c>
      <c r="D68" s="47" t="s">
        <v>214</v>
      </c>
      <c r="E68" s="47" t="s">
        <v>214</v>
      </c>
      <c r="F68" s="47" t="s">
        <v>214</v>
      </c>
      <c r="G68" s="8" t="s">
        <v>227</v>
      </c>
      <c r="H68" s="47" t="s">
        <v>214</v>
      </c>
      <c r="I68" s="47" t="s">
        <v>214</v>
      </c>
      <c r="J68" s="8" t="s">
        <v>227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">
      <c r="A69" s="6" t="s">
        <v>154</v>
      </c>
      <c r="B69" s="6" t="s">
        <v>196</v>
      </c>
      <c r="C69" s="34" t="s">
        <v>204</v>
      </c>
      <c r="D69" s="47" t="s">
        <v>214</v>
      </c>
      <c r="E69" s="47" t="s">
        <v>214</v>
      </c>
      <c r="F69" s="47" t="s">
        <v>214</v>
      </c>
      <c r="G69" s="8" t="s">
        <v>227</v>
      </c>
      <c r="H69" s="47" t="s">
        <v>214</v>
      </c>
      <c r="I69" s="47" t="s">
        <v>214</v>
      </c>
      <c r="J69" s="8" t="s">
        <v>227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">
      <c r="A70" s="6" t="s">
        <v>155</v>
      </c>
      <c r="B70" s="6" t="s">
        <v>196</v>
      </c>
      <c r="C70" s="33" t="s">
        <v>204</v>
      </c>
      <c r="D70" s="47" t="s">
        <v>214</v>
      </c>
      <c r="E70" s="47" t="s">
        <v>214</v>
      </c>
      <c r="F70" s="47" t="s">
        <v>214</v>
      </c>
      <c r="G70" s="8" t="s">
        <v>227</v>
      </c>
      <c r="H70" s="47" t="s">
        <v>214</v>
      </c>
      <c r="I70" s="47" t="s">
        <v>214</v>
      </c>
      <c r="J70" s="8" t="s">
        <v>227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">
      <c r="A71" s="6" t="s">
        <v>156</v>
      </c>
      <c r="B71" s="6" t="s">
        <v>197</v>
      </c>
      <c r="C71" s="42" t="s">
        <v>206</v>
      </c>
      <c r="D71" s="47" t="s">
        <v>214</v>
      </c>
      <c r="E71" s="47" t="s">
        <v>214</v>
      </c>
      <c r="F71" s="47" t="s">
        <v>214</v>
      </c>
      <c r="G71" s="8" t="s">
        <v>227</v>
      </c>
      <c r="H71" s="8" t="s">
        <v>227</v>
      </c>
      <c r="I71" s="47" t="s">
        <v>214</v>
      </c>
      <c r="J71" s="47" t="s">
        <v>214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">
      <c r="A72" s="6" t="s">
        <v>157</v>
      </c>
      <c r="B72" s="6" t="s">
        <v>197</v>
      </c>
      <c r="C72" s="43" t="s">
        <v>206</v>
      </c>
      <c r="D72" s="47" t="s">
        <v>214</v>
      </c>
      <c r="E72" s="47" t="s">
        <v>214</v>
      </c>
      <c r="F72" s="8" t="s">
        <v>227</v>
      </c>
      <c r="G72" s="8" t="s">
        <v>226</v>
      </c>
      <c r="H72" s="8" t="s">
        <v>227</v>
      </c>
      <c r="I72" s="50" t="s">
        <v>214</v>
      </c>
      <c r="J72" s="8" t="s">
        <v>227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">
      <c r="A73" s="6" t="s">
        <v>158</v>
      </c>
      <c r="B73" s="6" t="s">
        <v>197</v>
      </c>
      <c r="C73" s="37" t="s">
        <v>205</v>
      </c>
      <c r="D73" s="47" t="s">
        <v>214</v>
      </c>
      <c r="E73" s="47" t="s">
        <v>214</v>
      </c>
      <c r="F73" s="8" t="s">
        <v>227</v>
      </c>
      <c r="G73" s="47" t="s">
        <v>214</v>
      </c>
      <c r="H73" s="8" t="s">
        <v>227</v>
      </c>
      <c r="I73" s="50" t="s">
        <v>214</v>
      </c>
      <c r="J73" s="8" t="s">
        <v>227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">
      <c r="A74" s="6" t="s">
        <v>159</v>
      </c>
      <c r="B74" s="6" t="s">
        <v>198</v>
      </c>
      <c r="C74" s="44" t="s">
        <v>204</v>
      </c>
      <c r="D74" s="47" t="s">
        <v>214</v>
      </c>
      <c r="E74" s="47" t="s">
        <v>214</v>
      </c>
      <c r="F74" s="47" t="s">
        <v>214</v>
      </c>
      <c r="G74" s="8" t="s">
        <v>227</v>
      </c>
      <c r="H74" s="8" t="s">
        <v>227</v>
      </c>
      <c r="I74" s="50" t="s">
        <v>214</v>
      </c>
      <c r="J74" s="8" t="s">
        <v>227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">
      <c r="A75" s="6" t="s">
        <v>160</v>
      </c>
      <c r="B75" s="6" t="s">
        <v>199</v>
      </c>
      <c r="C75" s="45" t="s">
        <v>204</v>
      </c>
      <c r="D75" s="47" t="s">
        <v>214</v>
      </c>
      <c r="E75" s="47" t="s">
        <v>214</v>
      </c>
      <c r="F75" s="8" t="s">
        <v>227</v>
      </c>
      <c r="G75" s="8" t="s">
        <v>227</v>
      </c>
      <c r="H75" s="8" t="s">
        <v>227</v>
      </c>
      <c r="I75" s="47" t="s">
        <v>214</v>
      </c>
      <c r="J75" s="8" t="s">
        <v>227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">
      <c r="A76" s="6" t="s">
        <v>161</v>
      </c>
      <c r="B76" s="6" t="s">
        <v>199</v>
      </c>
      <c r="C76" s="32" t="s">
        <v>204</v>
      </c>
      <c r="D76" s="47" t="s">
        <v>214</v>
      </c>
      <c r="E76" s="47" t="s">
        <v>214</v>
      </c>
      <c r="F76" s="8" t="s">
        <v>227</v>
      </c>
      <c r="G76" s="8" t="s">
        <v>227</v>
      </c>
      <c r="H76" s="8" t="s">
        <v>227</v>
      </c>
      <c r="I76" s="47" t="s">
        <v>214</v>
      </c>
      <c r="J76" s="8" t="s">
        <v>227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">
      <c r="A77" s="6" t="s">
        <v>162</v>
      </c>
      <c r="B77" s="6" t="s">
        <v>199</v>
      </c>
      <c r="C77" s="45" t="s">
        <v>204</v>
      </c>
      <c r="D77" s="47" t="s">
        <v>214</v>
      </c>
      <c r="E77" s="47" t="s">
        <v>214</v>
      </c>
      <c r="F77" s="8" t="s">
        <v>227</v>
      </c>
      <c r="G77" s="8" t="s">
        <v>227</v>
      </c>
      <c r="H77" s="8" t="s">
        <v>227</v>
      </c>
      <c r="I77" s="8" t="s">
        <v>227</v>
      </c>
      <c r="J77" s="8" t="s">
        <v>227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">
      <c r="A78" s="6" t="s">
        <v>163</v>
      </c>
      <c r="B78" s="6" t="s">
        <v>200</v>
      </c>
      <c r="C78" s="38" t="s">
        <v>205</v>
      </c>
      <c r="D78" s="47" t="s">
        <v>214</v>
      </c>
      <c r="E78" s="47" t="s">
        <v>214</v>
      </c>
      <c r="F78" s="47" t="s">
        <v>214</v>
      </c>
      <c r="G78" s="8" t="s">
        <v>227</v>
      </c>
      <c r="H78" s="8" t="s">
        <v>227</v>
      </c>
      <c r="I78" s="47" t="s">
        <v>214</v>
      </c>
      <c r="J78" s="8" t="s">
        <v>227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">
      <c r="A79" s="6" t="s">
        <v>164</v>
      </c>
      <c r="B79" s="6" t="s">
        <v>200</v>
      </c>
      <c r="C79" s="35" t="s">
        <v>205</v>
      </c>
      <c r="D79" s="47" t="s">
        <v>214</v>
      </c>
      <c r="E79" s="47" t="s">
        <v>214</v>
      </c>
      <c r="F79" s="8" t="s">
        <v>227</v>
      </c>
      <c r="G79" s="8" t="s">
        <v>227</v>
      </c>
      <c r="H79" s="8" t="s">
        <v>227</v>
      </c>
      <c r="I79" s="8" t="s">
        <v>227</v>
      </c>
      <c r="J79" s="8" t="s">
        <v>227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">
      <c r="A80" s="6" t="s">
        <v>165</v>
      </c>
      <c r="B80" s="6" t="s">
        <v>201</v>
      </c>
      <c r="C80" s="44" t="s">
        <v>204</v>
      </c>
      <c r="D80" s="47" t="s">
        <v>214</v>
      </c>
      <c r="E80" s="47" t="s">
        <v>214</v>
      </c>
      <c r="F80" s="47" t="s">
        <v>214</v>
      </c>
      <c r="G80" s="8" t="s">
        <v>227</v>
      </c>
      <c r="H80" s="8" t="s">
        <v>227</v>
      </c>
      <c r="I80" s="8" t="s">
        <v>227</v>
      </c>
      <c r="J80" s="8" t="s">
        <v>227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">
      <c r="A81" s="6" t="s">
        <v>166</v>
      </c>
      <c r="B81" s="6" t="s">
        <v>201</v>
      </c>
      <c r="C81" s="45" t="s">
        <v>204</v>
      </c>
      <c r="D81" s="47" t="s">
        <v>214</v>
      </c>
      <c r="E81" s="47" t="s">
        <v>214</v>
      </c>
      <c r="F81" s="47" t="s">
        <v>214</v>
      </c>
      <c r="G81" s="8" t="s">
        <v>227</v>
      </c>
      <c r="H81" s="8" t="s">
        <v>227</v>
      </c>
      <c r="I81" s="47" t="s">
        <v>214</v>
      </c>
      <c r="J81" s="8" t="s">
        <v>227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">
      <c r="A82" s="6" t="s">
        <v>167</v>
      </c>
      <c r="B82" s="6" t="s">
        <v>201</v>
      </c>
      <c r="C82" s="34" t="s">
        <v>204</v>
      </c>
      <c r="D82" s="47" t="s">
        <v>214</v>
      </c>
      <c r="E82" s="47" t="s">
        <v>214</v>
      </c>
      <c r="F82" s="47" t="s">
        <v>214</v>
      </c>
      <c r="G82" s="8" t="s">
        <v>227</v>
      </c>
      <c r="H82" s="8" t="s">
        <v>227</v>
      </c>
      <c r="I82" s="47" t="s">
        <v>214</v>
      </c>
      <c r="J82" s="8" t="s">
        <v>227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">
      <c r="A83" s="6" t="s">
        <v>168</v>
      </c>
      <c r="B83" s="6" t="s">
        <v>202</v>
      </c>
      <c r="C83" s="33" t="s">
        <v>204</v>
      </c>
      <c r="D83" s="47" t="s">
        <v>214</v>
      </c>
      <c r="E83" s="47" t="s">
        <v>214</v>
      </c>
      <c r="F83" s="8" t="s">
        <v>227</v>
      </c>
      <c r="G83" s="8" t="s">
        <v>227</v>
      </c>
      <c r="H83" s="8" t="s">
        <v>227</v>
      </c>
      <c r="I83" s="47" t="s">
        <v>214</v>
      </c>
      <c r="J83" s="8" t="s">
        <v>227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">
      <c r="A84" s="6" t="s">
        <v>169</v>
      </c>
      <c r="B84" s="6" t="s">
        <v>202</v>
      </c>
      <c r="C84" s="32" t="s">
        <v>204</v>
      </c>
      <c r="D84" s="47" t="s">
        <v>214</v>
      </c>
      <c r="E84" s="47" t="s">
        <v>214</v>
      </c>
      <c r="F84" s="8" t="s">
        <v>227</v>
      </c>
      <c r="G84" s="8" t="s">
        <v>227</v>
      </c>
      <c r="H84" s="8" t="s">
        <v>227</v>
      </c>
      <c r="I84" s="47" t="s">
        <v>214</v>
      </c>
      <c r="J84" s="8" t="s">
        <v>227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">
      <c r="A85" s="6" t="s">
        <v>170</v>
      </c>
      <c r="B85" s="6" t="s">
        <v>202</v>
      </c>
      <c r="C85" s="45" t="s">
        <v>204</v>
      </c>
      <c r="D85" s="47" t="s">
        <v>214</v>
      </c>
      <c r="E85" s="47" t="s">
        <v>214</v>
      </c>
      <c r="F85" s="8" t="s">
        <v>227</v>
      </c>
      <c r="G85" s="8" t="s">
        <v>227</v>
      </c>
      <c r="H85" s="8" t="s">
        <v>227</v>
      </c>
      <c r="I85" s="47" t="s">
        <v>214</v>
      </c>
      <c r="J85" s="8" t="s">
        <v>227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">
      <c r="A86" s="6" t="s">
        <v>171</v>
      </c>
      <c r="B86" s="6" t="s">
        <v>203</v>
      </c>
      <c r="C86" s="45" t="s">
        <v>204</v>
      </c>
      <c r="D86" s="47" t="s">
        <v>214</v>
      </c>
      <c r="E86" s="47" t="s">
        <v>214</v>
      </c>
      <c r="F86" s="47" t="s">
        <v>214</v>
      </c>
      <c r="G86" s="8" t="s">
        <v>227</v>
      </c>
      <c r="H86" s="8" t="s">
        <v>227</v>
      </c>
      <c r="I86" s="47" t="s">
        <v>214</v>
      </c>
      <c r="J86" s="8" t="s">
        <v>227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">
      <c r="A87" s="6" t="s">
        <v>172</v>
      </c>
      <c r="B87" s="6" t="s">
        <v>203</v>
      </c>
      <c r="C87" s="46" t="s">
        <v>205</v>
      </c>
      <c r="D87" s="47" t="s">
        <v>214</v>
      </c>
      <c r="E87" s="47" t="s">
        <v>214</v>
      </c>
      <c r="F87" s="8" t="s">
        <v>227</v>
      </c>
      <c r="G87" s="8" t="s">
        <v>227</v>
      </c>
      <c r="H87" s="8" t="s">
        <v>227</v>
      </c>
      <c r="I87" s="47" t="s">
        <v>214</v>
      </c>
      <c r="J87" s="8" t="s">
        <v>227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</sheetData>
  <mergeCells count="1">
    <mergeCell ref="A1:AN1"/>
  </mergeCells>
  <conditionalFormatting sqref="K3:AN202">
    <cfRule type="expression" dxfId="4" priority="1">
      <formula>K3="Complete"</formula>
    </cfRule>
    <cfRule type="expression" dxfId="3" priority="2">
      <formula>K3="In Progress"</formula>
    </cfRule>
    <cfRule type="expression" dxfId="2" priority="3">
      <formula>K3="QC Needed"</formula>
    </cfRule>
    <cfRule type="expression" dxfId="1" priority="4">
      <formula>K3="Failed"</formula>
    </cfRule>
    <cfRule type="expression" dxfId="0" priority="5">
      <formula>K3="Exported"</formula>
    </cfRule>
  </conditionalFormatting>
  <dataValidations count="1">
    <dataValidation type="list" sqref="K3:AN202" xr:uid="{00000000-0002-0000-0100-000000000000}">
      <formula1>"Not Started,In Progress,Complete,QC Needed,Failed,N/A,Exported"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tabSelected="1" workbookViewId="0">
      <selection activeCell="B16" sqref="B16"/>
    </sheetView>
  </sheetViews>
  <sheetFormatPr baseColWidth="10" defaultColWidth="8.83203125" defaultRowHeight="15"/>
  <cols>
    <col min="1" max="1" width="12" customWidth="1"/>
    <col min="2" max="2" width="24" customWidth="1"/>
    <col min="3" max="3" width="16" customWidth="1"/>
    <col min="4" max="4" width="36" customWidth="1"/>
    <col min="5" max="6" width="28" customWidth="1"/>
    <col min="7" max="7" width="20" customWidth="1"/>
    <col min="8" max="8" width="18" customWidth="1"/>
    <col min="9" max="9" width="34" customWidth="1"/>
  </cols>
  <sheetData>
    <row r="1" spans="1:9" ht="18">
      <c r="A1" s="4" t="s">
        <v>47</v>
      </c>
      <c r="B1" s="4"/>
      <c r="C1" s="4"/>
      <c r="D1" s="4"/>
      <c r="E1" s="4"/>
      <c r="F1" s="4"/>
      <c r="G1" s="4"/>
      <c r="H1" s="4"/>
      <c r="I1" s="4"/>
    </row>
    <row r="2" spans="1:9">
      <c r="A2" s="5" t="s">
        <v>48</v>
      </c>
      <c r="B2" s="5"/>
      <c r="C2" s="5"/>
      <c r="D2" s="5"/>
      <c r="E2" s="5"/>
      <c r="F2" s="5"/>
      <c r="G2" s="5"/>
      <c r="H2" s="5"/>
      <c r="I2" s="5"/>
    </row>
    <row r="3" spans="1:9" ht="16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</row>
    <row r="4" spans="1:9" ht="48">
      <c r="A4" s="2" t="s">
        <v>17</v>
      </c>
      <c r="B4" s="2" t="s">
        <v>238</v>
      </c>
      <c r="C4" s="2" t="s">
        <v>212</v>
      </c>
      <c r="D4" s="2" t="s">
        <v>239</v>
      </c>
      <c r="E4" s="2" t="s">
        <v>240</v>
      </c>
      <c r="F4" s="2" t="s">
        <v>241</v>
      </c>
      <c r="G4" s="2" t="s">
        <v>58</v>
      </c>
      <c r="H4" s="2"/>
      <c r="I4" s="2"/>
    </row>
    <row r="5" spans="1:9" ht="48">
      <c r="A5" s="2" t="s">
        <v>18</v>
      </c>
      <c r="B5" s="2" t="s">
        <v>242</v>
      </c>
      <c r="C5" s="2" t="s">
        <v>212</v>
      </c>
      <c r="D5" s="2" t="s">
        <v>243</v>
      </c>
      <c r="E5" s="2" t="s">
        <v>241</v>
      </c>
      <c r="F5" s="2" t="s">
        <v>244</v>
      </c>
      <c r="G5" s="2" t="s">
        <v>58</v>
      </c>
      <c r="H5" s="2"/>
      <c r="I5" s="2"/>
    </row>
    <row r="6" spans="1:9" ht="48">
      <c r="A6" s="2" t="s">
        <v>19</v>
      </c>
      <c r="B6" s="2" t="s">
        <v>245</v>
      </c>
      <c r="C6" s="2" t="s">
        <v>212</v>
      </c>
      <c r="D6" s="2" t="s">
        <v>246</v>
      </c>
      <c r="E6" s="2" t="s">
        <v>241</v>
      </c>
      <c r="F6" s="2" t="s">
        <v>247</v>
      </c>
      <c r="G6" s="2" t="s">
        <v>58</v>
      </c>
      <c r="H6" s="2"/>
      <c r="I6" s="2"/>
    </row>
    <row r="7" spans="1:9" ht="32">
      <c r="A7" s="2" t="s">
        <v>20</v>
      </c>
      <c r="B7" s="2" t="s">
        <v>248</v>
      </c>
      <c r="C7" s="2" t="s">
        <v>213</v>
      </c>
      <c r="D7" s="2" t="s">
        <v>259</v>
      </c>
      <c r="E7" s="2" t="s">
        <v>260</v>
      </c>
      <c r="F7" s="2" t="s">
        <v>261</v>
      </c>
      <c r="G7" s="2" t="s">
        <v>58</v>
      </c>
      <c r="H7" s="2"/>
      <c r="I7" s="2"/>
    </row>
    <row r="8" spans="1:9" ht="32">
      <c r="A8" s="2" t="s">
        <v>21</v>
      </c>
      <c r="B8" s="2" t="s">
        <v>249</v>
      </c>
      <c r="C8" s="2" t="s">
        <v>213</v>
      </c>
      <c r="D8" s="2" t="s">
        <v>246</v>
      </c>
      <c r="E8" s="2" t="s">
        <v>260</v>
      </c>
      <c r="F8" s="2" t="s">
        <v>247</v>
      </c>
      <c r="G8" s="2" t="s">
        <v>58</v>
      </c>
      <c r="H8" s="2"/>
      <c r="I8" s="2"/>
    </row>
    <row r="9" spans="1:9" ht="48">
      <c r="A9" s="2" t="s">
        <v>22</v>
      </c>
      <c r="B9" s="2" t="s">
        <v>250</v>
      </c>
      <c r="C9" s="2" t="s">
        <v>212</v>
      </c>
      <c r="D9" s="2" t="s">
        <v>262</v>
      </c>
      <c r="E9" s="2" t="s">
        <v>263</v>
      </c>
      <c r="F9" s="2" t="s">
        <v>244</v>
      </c>
      <c r="G9" s="2" t="s">
        <v>58</v>
      </c>
      <c r="H9" s="2"/>
      <c r="I9" s="2"/>
    </row>
    <row r="10" spans="1:9" ht="32">
      <c r="A10" s="2" t="s">
        <v>23</v>
      </c>
      <c r="B10" s="2" t="s">
        <v>251</v>
      </c>
      <c r="C10" s="2" t="s">
        <v>212</v>
      </c>
      <c r="D10" s="2" t="s">
        <v>246</v>
      </c>
      <c r="E10" s="2" t="s">
        <v>263</v>
      </c>
      <c r="F10" s="2" t="s">
        <v>247</v>
      </c>
      <c r="G10" s="2" t="s">
        <v>58</v>
      </c>
      <c r="H10" s="2"/>
      <c r="I10" s="2"/>
    </row>
    <row r="11" spans="1:9" ht="48">
      <c r="A11" s="2" t="s">
        <v>24</v>
      </c>
      <c r="B11" s="2" t="s">
        <v>252</v>
      </c>
      <c r="C11" s="2" t="s">
        <v>253</v>
      </c>
      <c r="D11" s="2" t="s">
        <v>264</v>
      </c>
      <c r="E11" s="2" t="s">
        <v>265</v>
      </c>
      <c r="F11" s="2" t="s">
        <v>266</v>
      </c>
      <c r="G11" s="2" t="s">
        <v>58</v>
      </c>
      <c r="H11" s="2"/>
      <c r="I11" s="2"/>
    </row>
    <row r="12" spans="1:9" ht="32">
      <c r="A12" s="2" t="s">
        <v>25</v>
      </c>
      <c r="B12" s="2" t="s">
        <v>254</v>
      </c>
      <c r="C12" s="2" t="s">
        <v>253</v>
      </c>
      <c r="D12" s="2" t="s">
        <v>267</v>
      </c>
      <c r="E12" s="2" t="s">
        <v>268</v>
      </c>
      <c r="F12" s="2" t="s">
        <v>269</v>
      </c>
      <c r="G12" s="2" t="s">
        <v>58</v>
      </c>
      <c r="H12" s="2"/>
      <c r="I12" s="2"/>
    </row>
    <row r="13" spans="1:9" ht="48">
      <c r="A13" s="2" t="s">
        <v>26</v>
      </c>
      <c r="B13" s="2" t="s">
        <v>255</v>
      </c>
      <c r="C13" s="2" t="s">
        <v>256</v>
      </c>
      <c r="D13" s="2" t="s">
        <v>270</v>
      </c>
      <c r="E13" s="2" t="s">
        <v>271</v>
      </c>
      <c r="F13" s="2" t="s">
        <v>272</v>
      </c>
      <c r="G13" s="2" t="s">
        <v>58</v>
      </c>
      <c r="H13" s="2"/>
      <c r="I13" s="2"/>
    </row>
    <row r="14" spans="1:9" ht="48">
      <c r="A14" s="2" t="s">
        <v>27</v>
      </c>
      <c r="B14" s="2" t="s">
        <v>257</v>
      </c>
      <c r="C14" s="2" t="s">
        <v>256</v>
      </c>
      <c r="D14" s="2" t="s">
        <v>273</v>
      </c>
      <c r="E14" s="2" t="s">
        <v>271</v>
      </c>
      <c r="F14" s="2" t="s">
        <v>274</v>
      </c>
      <c r="G14" s="2" t="s">
        <v>58</v>
      </c>
      <c r="H14" s="2"/>
      <c r="I14" s="2"/>
    </row>
    <row r="15" spans="1:9" ht="32">
      <c r="A15" s="2" t="s">
        <v>28</v>
      </c>
      <c r="B15" s="2" t="s">
        <v>258</v>
      </c>
      <c r="C15" s="2" t="s">
        <v>258</v>
      </c>
      <c r="D15" s="2" t="s">
        <v>275</v>
      </c>
      <c r="E15" s="2" t="s">
        <v>276</v>
      </c>
      <c r="F15" s="2" t="s">
        <v>277</v>
      </c>
      <c r="G15" s="2" t="s">
        <v>58</v>
      </c>
      <c r="H15" s="2"/>
      <c r="I15" s="2"/>
    </row>
    <row r="16" spans="1:9" ht="16">
      <c r="A16" s="2" t="s">
        <v>29</v>
      </c>
      <c r="B16" s="2"/>
      <c r="C16" s="2"/>
      <c r="D16" s="2"/>
      <c r="E16" s="2"/>
      <c r="F16" s="2"/>
      <c r="G16" s="2" t="s">
        <v>58</v>
      </c>
      <c r="H16" s="2"/>
      <c r="I16" s="2"/>
    </row>
    <row r="17" spans="1:9" ht="16">
      <c r="A17" s="2" t="s">
        <v>30</v>
      </c>
      <c r="B17" s="2"/>
      <c r="C17" s="2"/>
      <c r="D17" s="2"/>
      <c r="E17" s="2"/>
      <c r="F17" s="2"/>
      <c r="G17" s="2" t="s">
        <v>58</v>
      </c>
      <c r="H17" s="2"/>
      <c r="I17" s="2"/>
    </row>
    <row r="18" spans="1:9" ht="16">
      <c r="A18" s="2" t="s">
        <v>31</v>
      </c>
      <c r="B18" s="2"/>
      <c r="C18" s="2"/>
      <c r="D18" s="2"/>
      <c r="E18" s="2"/>
      <c r="F18" s="2"/>
      <c r="G18" s="2" t="s">
        <v>58</v>
      </c>
      <c r="H18" s="2"/>
      <c r="I18" s="2"/>
    </row>
    <row r="19" spans="1:9" ht="16">
      <c r="A19" s="2" t="s">
        <v>32</v>
      </c>
      <c r="B19" s="2"/>
      <c r="C19" s="2"/>
      <c r="D19" s="2"/>
      <c r="E19" s="2"/>
      <c r="F19" s="2"/>
      <c r="G19" s="2" t="s">
        <v>58</v>
      </c>
      <c r="H19" s="2"/>
      <c r="I19" s="2"/>
    </row>
    <row r="20" spans="1:9" ht="16">
      <c r="A20" s="2" t="s">
        <v>33</v>
      </c>
      <c r="B20" s="2"/>
      <c r="C20" s="2"/>
      <c r="D20" s="2"/>
      <c r="E20" s="2"/>
      <c r="F20" s="2"/>
      <c r="G20" s="2" t="s">
        <v>58</v>
      </c>
      <c r="H20" s="2"/>
      <c r="I20" s="2"/>
    </row>
    <row r="21" spans="1:9" ht="16">
      <c r="A21" s="2" t="s">
        <v>34</v>
      </c>
      <c r="B21" s="2"/>
      <c r="C21" s="2"/>
      <c r="D21" s="2"/>
      <c r="E21" s="2"/>
      <c r="F21" s="2"/>
      <c r="G21" s="2" t="s">
        <v>58</v>
      </c>
      <c r="H21" s="2"/>
      <c r="I21" s="2"/>
    </row>
    <row r="22" spans="1:9" ht="16">
      <c r="A22" s="2" t="s">
        <v>35</v>
      </c>
      <c r="B22" s="2"/>
      <c r="C22" s="2"/>
      <c r="D22" s="2"/>
      <c r="E22" s="2"/>
      <c r="F22" s="2"/>
      <c r="G22" s="2" t="s">
        <v>58</v>
      </c>
      <c r="H22" s="2"/>
      <c r="I22" s="2"/>
    </row>
    <row r="23" spans="1:9" ht="16">
      <c r="A23" s="2" t="s">
        <v>36</v>
      </c>
      <c r="B23" s="2"/>
      <c r="C23" s="2"/>
      <c r="D23" s="2"/>
      <c r="E23" s="2"/>
      <c r="F23" s="2"/>
      <c r="G23" s="2" t="s">
        <v>58</v>
      </c>
      <c r="H23" s="2"/>
      <c r="I23" s="2"/>
    </row>
    <row r="24" spans="1:9" ht="16">
      <c r="A24" s="2" t="s">
        <v>37</v>
      </c>
      <c r="B24" s="2"/>
      <c r="C24" s="2"/>
      <c r="D24" s="2"/>
      <c r="E24" s="2"/>
      <c r="F24" s="2"/>
      <c r="G24" s="2" t="s">
        <v>58</v>
      </c>
      <c r="H24" s="2"/>
      <c r="I24" s="2"/>
    </row>
    <row r="25" spans="1:9" ht="16">
      <c r="A25" s="2" t="s">
        <v>38</v>
      </c>
      <c r="B25" s="2"/>
      <c r="C25" s="2"/>
      <c r="D25" s="2"/>
      <c r="E25" s="2"/>
      <c r="F25" s="2"/>
      <c r="G25" s="2" t="s">
        <v>58</v>
      </c>
      <c r="H25" s="2"/>
      <c r="I25" s="2"/>
    </row>
    <row r="26" spans="1:9" ht="16">
      <c r="A26" s="2" t="s">
        <v>39</v>
      </c>
      <c r="B26" s="2"/>
      <c r="C26" s="2"/>
      <c r="D26" s="2"/>
      <c r="E26" s="2"/>
      <c r="F26" s="2"/>
      <c r="G26" s="2" t="s">
        <v>58</v>
      </c>
      <c r="H26" s="2"/>
      <c r="I26" s="2"/>
    </row>
    <row r="27" spans="1:9" ht="16">
      <c r="A27" s="2" t="s">
        <v>40</v>
      </c>
      <c r="B27" s="2"/>
      <c r="C27" s="2"/>
      <c r="D27" s="2"/>
      <c r="E27" s="2"/>
      <c r="F27" s="2"/>
      <c r="G27" s="2" t="s">
        <v>58</v>
      </c>
      <c r="H27" s="2"/>
      <c r="I27" s="2"/>
    </row>
    <row r="28" spans="1:9" ht="16">
      <c r="A28" s="2" t="s">
        <v>41</v>
      </c>
      <c r="B28" s="2"/>
      <c r="C28" s="2"/>
      <c r="D28" s="2"/>
      <c r="E28" s="2"/>
      <c r="F28" s="2"/>
      <c r="G28" s="2" t="s">
        <v>58</v>
      </c>
      <c r="H28" s="2"/>
      <c r="I28" s="2"/>
    </row>
    <row r="29" spans="1:9" ht="16">
      <c r="A29" s="2" t="s">
        <v>42</v>
      </c>
      <c r="B29" s="2"/>
      <c r="C29" s="2"/>
      <c r="D29" s="2"/>
      <c r="E29" s="2"/>
      <c r="F29" s="2"/>
      <c r="G29" s="2" t="s">
        <v>58</v>
      </c>
      <c r="H29" s="2"/>
      <c r="I29" s="2"/>
    </row>
    <row r="30" spans="1:9" ht="16">
      <c r="A30" s="2" t="s">
        <v>43</v>
      </c>
      <c r="B30" s="2"/>
      <c r="C30" s="2"/>
      <c r="D30" s="2"/>
      <c r="E30" s="2"/>
      <c r="F30" s="2"/>
      <c r="G30" s="2" t="s">
        <v>58</v>
      </c>
      <c r="H30" s="2"/>
      <c r="I30" s="2"/>
    </row>
    <row r="31" spans="1:9" ht="16">
      <c r="A31" s="2" t="s">
        <v>44</v>
      </c>
      <c r="B31" s="2"/>
      <c r="C31" s="2"/>
      <c r="D31" s="2"/>
      <c r="E31" s="2"/>
      <c r="F31" s="2"/>
      <c r="G31" s="2" t="s">
        <v>58</v>
      </c>
      <c r="H31" s="2"/>
      <c r="I31" s="2"/>
    </row>
    <row r="32" spans="1:9" ht="16">
      <c r="A32" s="2" t="s">
        <v>45</v>
      </c>
      <c r="B32" s="2"/>
      <c r="C32" s="2"/>
      <c r="D32" s="2"/>
      <c r="E32" s="2"/>
      <c r="F32" s="2"/>
      <c r="G32" s="2" t="s">
        <v>58</v>
      </c>
      <c r="H32" s="2"/>
      <c r="I32" s="2"/>
    </row>
    <row r="33" spans="1:9" ht="16">
      <c r="A33" s="2" t="s">
        <v>46</v>
      </c>
      <c r="B33" s="2"/>
      <c r="C33" s="2"/>
      <c r="D33" s="2"/>
      <c r="E33" s="2"/>
      <c r="F33" s="2"/>
      <c r="G33" s="2" t="s">
        <v>58</v>
      </c>
      <c r="H33" s="2"/>
      <c r="I33" s="2"/>
    </row>
  </sheetData>
  <mergeCells count="2">
    <mergeCell ref="A1:I1"/>
    <mergeCell ref="A2:I2"/>
  </mergeCells>
  <phoneticPr fontId="8" type="noConversion"/>
  <dataValidations count="2">
    <dataValidation type="list" sqref="G4:G33" xr:uid="{00000000-0002-0000-0200-000000000000}">
      <formula1>"Not Assessed,Pass,Needs Review,Failed"</formula1>
    </dataValidation>
    <dataValidation type="list" sqref="H4:H33" xr:uid="{00000000-0002-0000-0200-000001000000}">
      <formula1>"Critical,Important,Optional,Deferred"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>
      <selection sqref="A1:H1"/>
    </sheetView>
  </sheetViews>
  <sheetFormatPr baseColWidth="10" defaultColWidth="8.83203125" defaultRowHeight="15"/>
  <cols>
    <col min="1" max="1" width="22" customWidth="1"/>
    <col min="2" max="2" width="12" customWidth="1"/>
    <col min="3" max="3" width="14" customWidth="1"/>
    <col min="4" max="6" width="12" customWidth="1"/>
    <col min="7" max="8" width="14" customWidth="1"/>
  </cols>
  <sheetData>
    <row r="1" spans="1:8" ht="18">
      <c r="A1" s="4" t="s">
        <v>59</v>
      </c>
      <c r="B1" s="4"/>
      <c r="C1" s="4"/>
      <c r="D1" s="4"/>
      <c r="E1" s="4"/>
      <c r="F1" s="4"/>
      <c r="G1" s="4"/>
      <c r="H1" s="4"/>
    </row>
    <row r="3" spans="1:8">
      <c r="A3" s="5" t="s">
        <v>60</v>
      </c>
      <c r="B3" s="5"/>
      <c r="C3" s="5"/>
      <c r="D3" s="5"/>
      <c r="E3" s="5"/>
      <c r="F3" s="5"/>
      <c r="G3" s="5"/>
      <c r="H3" s="5"/>
    </row>
    <row r="5" spans="1:8" ht="16">
      <c r="A5" s="1" t="s">
        <v>61</v>
      </c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</row>
    <row r="6" spans="1:8">
      <c r="A6" t="str">
        <f>Sample_Matrix!K2</f>
        <v>AN01</v>
      </c>
      <c r="B6">
        <f>COUNTIF(Sample_Matrix!K3:K202,"Complete")</f>
        <v>0</v>
      </c>
      <c r="C6">
        <f>COUNTIF(Sample_Matrix!K3:K202,"In Progress")</f>
        <v>0</v>
      </c>
      <c r="D6">
        <f>COUNTIF(Sample_Matrix!K3:K202,"QC Needed")</f>
        <v>0</v>
      </c>
      <c r="E6">
        <f>COUNTIF(Sample_Matrix!K3:K202,"Failed")</f>
        <v>0</v>
      </c>
      <c r="F6">
        <f>COUNTIF(Sample_Matrix!K3:K202,"Exported")</f>
        <v>0</v>
      </c>
      <c r="G6">
        <f>COUNTIF(Sample_Matrix!K3:K202,"Not Started")</f>
        <v>0</v>
      </c>
      <c r="H6" s="3">
        <f>IF(COUNTA(Sample_Matrix!K3:K202)=0,"",B6/COUNTA(Sample_Matrix!K3:K202))</f>
        <v>0</v>
      </c>
    </row>
    <row r="7" spans="1:8">
      <c r="A7" t="str">
        <f>Sample_Matrix!L2</f>
        <v>AN02</v>
      </c>
      <c r="B7">
        <f>COUNTIF(Sample_Matrix!L3:L202,"Complete")</f>
        <v>0</v>
      </c>
      <c r="C7">
        <f>COUNTIF(Sample_Matrix!L3:L202,"In Progress")</f>
        <v>0</v>
      </c>
      <c r="D7">
        <f>COUNTIF(Sample_Matrix!L3:L202,"QC Needed")</f>
        <v>0</v>
      </c>
      <c r="E7">
        <f>COUNTIF(Sample_Matrix!L3:L202,"Failed")</f>
        <v>0</v>
      </c>
      <c r="F7">
        <f>COUNTIF(Sample_Matrix!L3:L202,"Exported")</f>
        <v>0</v>
      </c>
      <c r="G7">
        <f>COUNTIF(Sample_Matrix!L3:L202,"Not Started")</f>
        <v>0</v>
      </c>
      <c r="H7" s="3" t="str">
        <f>IF(COUNTA(Sample_Matrix!L3:L202)=0,"",B7/COUNTA(Sample_Matrix!L3:L202))</f>
        <v/>
      </c>
    </row>
    <row r="8" spans="1:8">
      <c r="A8" t="str">
        <f>Sample_Matrix!M2</f>
        <v>AN03</v>
      </c>
      <c r="B8">
        <f>COUNTIF(Sample_Matrix!M3:M202,"Complete")</f>
        <v>0</v>
      </c>
      <c r="C8">
        <f>COUNTIF(Sample_Matrix!M3:M202,"In Progress")</f>
        <v>0</v>
      </c>
      <c r="D8">
        <f>COUNTIF(Sample_Matrix!M3:M202,"QC Needed")</f>
        <v>0</v>
      </c>
      <c r="E8">
        <f>COUNTIF(Sample_Matrix!M3:M202,"Failed")</f>
        <v>0</v>
      </c>
      <c r="F8">
        <f>COUNTIF(Sample_Matrix!M3:M202,"Exported")</f>
        <v>0</v>
      </c>
      <c r="G8">
        <f>COUNTIF(Sample_Matrix!M3:M202,"Not Started")</f>
        <v>0</v>
      </c>
      <c r="H8" s="3" t="str">
        <f>IF(COUNTA(Sample_Matrix!M3:M202)=0,"",B8/COUNTA(Sample_Matrix!M3:M202))</f>
        <v/>
      </c>
    </row>
    <row r="9" spans="1:8">
      <c r="A9" t="str">
        <f>Sample_Matrix!N2</f>
        <v>AN04</v>
      </c>
      <c r="B9">
        <f>COUNTIF(Sample_Matrix!N3:N202,"Complete")</f>
        <v>0</v>
      </c>
      <c r="C9">
        <f>COUNTIF(Sample_Matrix!N3:N202,"In Progress")</f>
        <v>0</v>
      </c>
      <c r="D9">
        <f>COUNTIF(Sample_Matrix!N3:N202,"QC Needed")</f>
        <v>0</v>
      </c>
      <c r="E9">
        <f>COUNTIF(Sample_Matrix!N3:N202,"Failed")</f>
        <v>0</v>
      </c>
      <c r="F9">
        <f>COUNTIF(Sample_Matrix!N3:N202,"Exported")</f>
        <v>0</v>
      </c>
      <c r="G9">
        <f>COUNTIF(Sample_Matrix!N3:N202,"Not Started")</f>
        <v>0</v>
      </c>
      <c r="H9" s="3" t="str">
        <f>IF(COUNTA(Sample_Matrix!N3:N202)=0,"",B9/COUNTA(Sample_Matrix!N3:N202))</f>
        <v/>
      </c>
    </row>
    <row r="10" spans="1:8">
      <c r="A10" t="str">
        <f>Sample_Matrix!O2</f>
        <v>AN05</v>
      </c>
      <c r="B10">
        <f>COUNTIF(Sample_Matrix!O3:O202,"Complete")</f>
        <v>0</v>
      </c>
      <c r="C10">
        <f>COUNTIF(Sample_Matrix!O3:O202,"In Progress")</f>
        <v>0</v>
      </c>
      <c r="D10">
        <f>COUNTIF(Sample_Matrix!O3:O202,"QC Needed")</f>
        <v>0</v>
      </c>
      <c r="E10">
        <f>COUNTIF(Sample_Matrix!O3:O202,"Failed")</f>
        <v>0</v>
      </c>
      <c r="F10">
        <f>COUNTIF(Sample_Matrix!O3:O202,"Exported")</f>
        <v>0</v>
      </c>
      <c r="G10">
        <f>COUNTIF(Sample_Matrix!O3:O202,"Not Started")</f>
        <v>0</v>
      </c>
      <c r="H10" s="3" t="str">
        <f>IF(COUNTA(Sample_Matrix!O3:O202)=0,"",B10/COUNTA(Sample_Matrix!O3:O202))</f>
        <v/>
      </c>
    </row>
    <row r="11" spans="1:8">
      <c r="A11" t="str">
        <f>Sample_Matrix!P2</f>
        <v>AN06</v>
      </c>
      <c r="B11">
        <f>COUNTIF(Sample_Matrix!P3:P202,"Complete")</f>
        <v>0</v>
      </c>
      <c r="C11">
        <f>COUNTIF(Sample_Matrix!P3:P202,"In Progress")</f>
        <v>0</v>
      </c>
      <c r="D11">
        <f>COUNTIF(Sample_Matrix!P3:P202,"QC Needed")</f>
        <v>0</v>
      </c>
      <c r="E11">
        <f>COUNTIF(Sample_Matrix!P3:P202,"Failed")</f>
        <v>0</v>
      </c>
      <c r="F11">
        <f>COUNTIF(Sample_Matrix!P3:P202,"Exported")</f>
        <v>0</v>
      </c>
      <c r="G11">
        <f>COUNTIF(Sample_Matrix!P3:P202,"Not Started")</f>
        <v>0</v>
      </c>
      <c r="H11" s="3" t="str">
        <f>IF(COUNTA(Sample_Matrix!P3:P202)=0,"",B11/COUNTA(Sample_Matrix!P3:P202))</f>
        <v/>
      </c>
    </row>
    <row r="12" spans="1:8">
      <c r="A12" t="str">
        <f>Sample_Matrix!Q2</f>
        <v>AN07</v>
      </c>
      <c r="B12">
        <f>COUNTIF(Sample_Matrix!Q3:Q202,"Complete")</f>
        <v>0</v>
      </c>
      <c r="C12">
        <f>COUNTIF(Sample_Matrix!Q3:Q202,"In Progress")</f>
        <v>0</v>
      </c>
      <c r="D12">
        <f>COUNTIF(Sample_Matrix!Q3:Q202,"QC Needed")</f>
        <v>0</v>
      </c>
      <c r="E12">
        <f>COUNTIF(Sample_Matrix!Q3:Q202,"Failed")</f>
        <v>0</v>
      </c>
      <c r="F12">
        <f>COUNTIF(Sample_Matrix!Q3:Q202,"Exported")</f>
        <v>0</v>
      </c>
      <c r="G12">
        <f>COUNTIF(Sample_Matrix!Q3:Q202,"Not Started")</f>
        <v>0</v>
      </c>
      <c r="H12" s="3" t="str">
        <f>IF(COUNTA(Sample_Matrix!Q3:Q202)=0,"",B12/COUNTA(Sample_Matrix!Q3:Q202))</f>
        <v/>
      </c>
    </row>
    <row r="13" spans="1:8">
      <c r="A13" t="str">
        <f>Sample_Matrix!R2</f>
        <v>AN08</v>
      </c>
      <c r="B13">
        <f>COUNTIF(Sample_Matrix!R3:R202,"Complete")</f>
        <v>0</v>
      </c>
      <c r="C13">
        <f>COUNTIF(Sample_Matrix!R3:R202,"In Progress")</f>
        <v>0</v>
      </c>
      <c r="D13">
        <f>COUNTIF(Sample_Matrix!R3:R202,"QC Needed")</f>
        <v>0</v>
      </c>
      <c r="E13">
        <f>COUNTIF(Sample_Matrix!R3:R202,"Failed")</f>
        <v>0</v>
      </c>
      <c r="F13">
        <f>COUNTIF(Sample_Matrix!R3:R202,"Exported")</f>
        <v>0</v>
      </c>
      <c r="G13">
        <f>COUNTIF(Sample_Matrix!R3:R202,"Not Started")</f>
        <v>0</v>
      </c>
      <c r="H13" s="3" t="str">
        <f>IF(COUNTA(Sample_Matrix!R3:R202)=0,"",B13/COUNTA(Sample_Matrix!R3:R202))</f>
        <v/>
      </c>
    </row>
    <row r="14" spans="1:8">
      <c r="A14" t="str">
        <f>Sample_Matrix!S2</f>
        <v>AN09</v>
      </c>
      <c r="B14">
        <f>COUNTIF(Sample_Matrix!S3:S202,"Complete")</f>
        <v>0</v>
      </c>
      <c r="C14">
        <f>COUNTIF(Sample_Matrix!S3:S202,"In Progress")</f>
        <v>0</v>
      </c>
      <c r="D14">
        <f>COUNTIF(Sample_Matrix!S3:S202,"QC Needed")</f>
        <v>0</v>
      </c>
      <c r="E14">
        <f>COUNTIF(Sample_Matrix!S3:S202,"Failed")</f>
        <v>0</v>
      </c>
      <c r="F14">
        <f>COUNTIF(Sample_Matrix!S3:S202,"Exported")</f>
        <v>0</v>
      </c>
      <c r="G14">
        <f>COUNTIF(Sample_Matrix!S3:S202,"Not Started")</f>
        <v>0</v>
      </c>
      <c r="H14" s="3" t="str">
        <f>IF(COUNTA(Sample_Matrix!S3:S202)=0,"",B14/COUNTA(Sample_Matrix!S3:S202))</f>
        <v/>
      </c>
    </row>
    <row r="15" spans="1:8">
      <c r="A15" t="str">
        <f>Sample_Matrix!T2</f>
        <v>AN10</v>
      </c>
      <c r="B15">
        <f>COUNTIF(Sample_Matrix!T3:T202,"Complete")</f>
        <v>0</v>
      </c>
      <c r="C15">
        <f>COUNTIF(Sample_Matrix!T3:T202,"In Progress")</f>
        <v>0</v>
      </c>
      <c r="D15">
        <f>COUNTIF(Sample_Matrix!T3:T202,"QC Needed")</f>
        <v>0</v>
      </c>
      <c r="E15">
        <f>COUNTIF(Sample_Matrix!T3:T202,"Failed")</f>
        <v>0</v>
      </c>
      <c r="F15">
        <f>COUNTIF(Sample_Matrix!T3:T202,"Exported")</f>
        <v>0</v>
      </c>
      <c r="G15">
        <f>COUNTIF(Sample_Matrix!T3:T202,"Not Started")</f>
        <v>0</v>
      </c>
      <c r="H15" s="3" t="str">
        <f>IF(COUNTA(Sample_Matrix!T3:T202)=0,"",B15/COUNTA(Sample_Matrix!T3:T202))</f>
        <v/>
      </c>
    </row>
    <row r="16" spans="1:8">
      <c r="A16" t="str">
        <f>Sample_Matrix!U2</f>
        <v>AN11</v>
      </c>
      <c r="B16">
        <f>COUNTIF(Sample_Matrix!U3:U202,"Complete")</f>
        <v>0</v>
      </c>
      <c r="C16">
        <f>COUNTIF(Sample_Matrix!U3:U202,"In Progress")</f>
        <v>0</v>
      </c>
      <c r="D16">
        <f>COUNTIF(Sample_Matrix!U3:U202,"QC Needed")</f>
        <v>0</v>
      </c>
      <c r="E16">
        <f>COUNTIF(Sample_Matrix!U3:U202,"Failed")</f>
        <v>0</v>
      </c>
      <c r="F16">
        <f>COUNTIF(Sample_Matrix!U3:U202,"Exported")</f>
        <v>0</v>
      </c>
      <c r="G16">
        <f>COUNTIF(Sample_Matrix!U3:U202,"Not Started")</f>
        <v>0</v>
      </c>
      <c r="H16" s="3" t="str">
        <f>IF(COUNTA(Sample_Matrix!U3:U202)=0,"",B16/COUNTA(Sample_Matrix!U3:U202))</f>
        <v/>
      </c>
    </row>
    <row r="17" spans="1:8">
      <c r="A17" t="str">
        <f>Sample_Matrix!V2</f>
        <v>AN12</v>
      </c>
      <c r="B17">
        <f>COUNTIF(Sample_Matrix!V3:V202,"Complete")</f>
        <v>0</v>
      </c>
      <c r="C17">
        <f>COUNTIF(Sample_Matrix!V3:V202,"In Progress")</f>
        <v>0</v>
      </c>
      <c r="D17">
        <f>COUNTIF(Sample_Matrix!V3:V202,"QC Needed")</f>
        <v>0</v>
      </c>
      <c r="E17">
        <f>COUNTIF(Sample_Matrix!V3:V202,"Failed")</f>
        <v>0</v>
      </c>
      <c r="F17">
        <f>COUNTIF(Sample_Matrix!V3:V202,"Exported")</f>
        <v>0</v>
      </c>
      <c r="G17">
        <f>COUNTIF(Sample_Matrix!V3:V202,"Not Started")</f>
        <v>0</v>
      </c>
      <c r="H17" s="3" t="str">
        <f>IF(COUNTA(Sample_Matrix!V3:V202)=0,"",B17/COUNTA(Sample_Matrix!V3:V202))</f>
        <v/>
      </c>
    </row>
    <row r="18" spans="1:8">
      <c r="A18" t="str">
        <f>Sample_Matrix!W2</f>
        <v>AN13</v>
      </c>
      <c r="B18">
        <f>COUNTIF(Sample_Matrix!W3:W202,"Complete")</f>
        <v>0</v>
      </c>
      <c r="C18">
        <f>COUNTIF(Sample_Matrix!W3:W202,"In Progress")</f>
        <v>0</v>
      </c>
      <c r="D18">
        <f>COUNTIF(Sample_Matrix!W3:W202,"QC Needed")</f>
        <v>0</v>
      </c>
      <c r="E18">
        <f>COUNTIF(Sample_Matrix!W3:W202,"Failed")</f>
        <v>0</v>
      </c>
      <c r="F18">
        <f>COUNTIF(Sample_Matrix!W3:W202,"Exported")</f>
        <v>0</v>
      </c>
      <c r="G18">
        <f>COUNTIF(Sample_Matrix!W3:W202,"Not Started")</f>
        <v>0</v>
      </c>
      <c r="H18" s="3" t="str">
        <f>IF(COUNTA(Sample_Matrix!W3:W202)=0,"",B18/COUNTA(Sample_Matrix!W3:W202))</f>
        <v/>
      </c>
    </row>
    <row r="19" spans="1:8">
      <c r="A19" t="str">
        <f>Sample_Matrix!X2</f>
        <v>AN14</v>
      </c>
      <c r="B19">
        <f>COUNTIF(Sample_Matrix!X3:X202,"Complete")</f>
        <v>0</v>
      </c>
      <c r="C19">
        <f>COUNTIF(Sample_Matrix!X3:X202,"In Progress")</f>
        <v>0</v>
      </c>
      <c r="D19">
        <f>COUNTIF(Sample_Matrix!X3:X202,"QC Needed")</f>
        <v>0</v>
      </c>
      <c r="E19">
        <f>COUNTIF(Sample_Matrix!X3:X202,"Failed")</f>
        <v>0</v>
      </c>
      <c r="F19">
        <f>COUNTIF(Sample_Matrix!X3:X202,"Exported")</f>
        <v>0</v>
      </c>
      <c r="G19">
        <f>COUNTIF(Sample_Matrix!X3:X202,"Not Started")</f>
        <v>0</v>
      </c>
      <c r="H19" s="3" t="str">
        <f>IF(COUNTA(Sample_Matrix!X3:X202)=0,"",B19/COUNTA(Sample_Matrix!X3:X202))</f>
        <v/>
      </c>
    </row>
    <row r="20" spans="1:8">
      <c r="A20" t="str">
        <f>Sample_Matrix!Y2</f>
        <v>AN15</v>
      </c>
      <c r="B20">
        <f>COUNTIF(Sample_Matrix!Y3:Y202,"Complete")</f>
        <v>0</v>
      </c>
      <c r="C20">
        <f>COUNTIF(Sample_Matrix!Y3:Y202,"In Progress")</f>
        <v>0</v>
      </c>
      <c r="D20">
        <f>COUNTIF(Sample_Matrix!Y3:Y202,"QC Needed")</f>
        <v>0</v>
      </c>
      <c r="E20">
        <f>COUNTIF(Sample_Matrix!Y3:Y202,"Failed")</f>
        <v>0</v>
      </c>
      <c r="F20">
        <f>COUNTIF(Sample_Matrix!Y3:Y202,"Exported")</f>
        <v>0</v>
      </c>
      <c r="G20">
        <f>COUNTIF(Sample_Matrix!Y3:Y202,"Not Started")</f>
        <v>0</v>
      </c>
      <c r="H20" s="3" t="str">
        <f>IF(COUNTA(Sample_Matrix!Y3:Y202)=0,"",B20/COUNTA(Sample_Matrix!Y3:Y202))</f>
        <v/>
      </c>
    </row>
    <row r="21" spans="1:8">
      <c r="A21" t="str">
        <f>Sample_Matrix!Z2</f>
        <v>AN16</v>
      </c>
      <c r="B21">
        <f>COUNTIF(Sample_Matrix!Z3:Z202,"Complete")</f>
        <v>0</v>
      </c>
      <c r="C21">
        <f>COUNTIF(Sample_Matrix!Z3:Z202,"In Progress")</f>
        <v>0</v>
      </c>
      <c r="D21">
        <f>COUNTIF(Sample_Matrix!Z3:Z202,"QC Needed")</f>
        <v>0</v>
      </c>
      <c r="E21">
        <f>COUNTIF(Sample_Matrix!Z3:Z202,"Failed")</f>
        <v>0</v>
      </c>
      <c r="F21">
        <f>COUNTIF(Sample_Matrix!Z3:Z202,"Exported")</f>
        <v>0</v>
      </c>
      <c r="G21">
        <f>COUNTIF(Sample_Matrix!Z3:Z202,"Not Started")</f>
        <v>0</v>
      </c>
      <c r="H21" s="3" t="str">
        <f>IF(COUNTA(Sample_Matrix!Z3:Z202)=0,"",B21/COUNTA(Sample_Matrix!Z3:Z202))</f>
        <v/>
      </c>
    </row>
    <row r="22" spans="1:8">
      <c r="A22" t="str">
        <f>Sample_Matrix!AA2</f>
        <v>AN17</v>
      </c>
      <c r="B22">
        <f>COUNTIF(Sample_Matrix!AA3:AA202,"Complete")</f>
        <v>0</v>
      </c>
      <c r="C22">
        <f>COUNTIF(Sample_Matrix!AA3:AA202,"In Progress")</f>
        <v>0</v>
      </c>
      <c r="D22">
        <f>COUNTIF(Sample_Matrix!AA3:AA202,"QC Needed")</f>
        <v>0</v>
      </c>
      <c r="E22">
        <f>COUNTIF(Sample_Matrix!AA3:AA202,"Failed")</f>
        <v>0</v>
      </c>
      <c r="F22">
        <f>COUNTIF(Sample_Matrix!AA3:AA202,"Exported")</f>
        <v>0</v>
      </c>
      <c r="G22">
        <f>COUNTIF(Sample_Matrix!AA3:AA202,"Not Started")</f>
        <v>0</v>
      </c>
      <c r="H22" s="3" t="str">
        <f>IF(COUNTA(Sample_Matrix!AA3:AA202)=0,"",B22/COUNTA(Sample_Matrix!AA3:AA202))</f>
        <v/>
      </c>
    </row>
    <row r="23" spans="1:8">
      <c r="A23" t="str">
        <f>Sample_Matrix!AB2</f>
        <v>AN18</v>
      </c>
      <c r="B23">
        <f>COUNTIF(Sample_Matrix!AB3:AB202,"Complete")</f>
        <v>0</v>
      </c>
      <c r="C23">
        <f>COUNTIF(Sample_Matrix!AB3:AB202,"In Progress")</f>
        <v>0</v>
      </c>
      <c r="D23">
        <f>COUNTIF(Sample_Matrix!AB3:AB202,"QC Needed")</f>
        <v>0</v>
      </c>
      <c r="E23">
        <f>COUNTIF(Sample_Matrix!AB3:AB202,"Failed")</f>
        <v>0</v>
      </c>
      <c r="F23">
        <f>COUNTIF(Sample_Matrix!AB3:AB202,"Exported")</f>
        <v>0</v>
      </c>
      <c r="G23">
        <f>COUNTIF(Sample_Matrix!AB3:AB202,"Not Started")</f>
        <v>0</v>
      </c>
      <c r="H23" s="3" t="str">
        <f>IF(COUNTA(Sample_Matrix!AB3:AB202)=0,"",B23/COUNTA(Sample_Matrix!AB3:AB202))</f>
        <v/>
      </c>
    </row>
    <row r="24" spans="1:8">
      <c r="A24" t="str">
        <f>Sample_Matrix!AC2</f>
        <v>AN19</v>
      </c>
      <c r="B24">
        <f>COUNTIF(Sample_Matrix!AC3:AC202,"Complete")</f>
        <v>0</v>
      </c>
      <c r="C24">
        <f>COUNTIF(Sample_Matrix!AC3:AC202,"In Progress")</f>
        <v>0</v>
      </c>
      <c r="D24">
        <f>COUNTIF(Sample_Matrix!AC3:AC202,"QC Needed")</f>
        <v>0</v>
      </c>
      <c r="E24">
        <f>COUNTIF(Sample_Matrix!AC3:AC202,"Failed")</f>
        <v>0</v>
      </c>
      <c r="F24">
        <f>COUNTIF(Sample_Matrix!AC3:AC202,"Exported")</f>
        <v>0</v>
      </c>
      <c r="G24">
        <f>COUNTIF(Sample_Matrix!AC3:AC202,"Not Started")</f>
        <v>0</v>
      </c>
      <c r="H24" s="3" t="str">
        <f>IF(COUNTA(Sample_Matrix!AC3:AC202)=0,"",B24/COUNTA(Sample_Matrix!AC3:AC202))</f>
        <v/>
      </c>
    </row>
    <row r="25" spans="1:8">
      <c r="A25" t="str">
        <f>Sample_Matrix!AD2</f>
        <v>AN20</v>
      </c>
      <c r="B25">
        <f>COUNTIF(Sample_Matrix!AD3:AD202,"Complete")</f>
        <v>0</v>
      </c>
      <c r="C25">
        <f>COUNTIF(Sample_Matrix!AD3:AD202,"In Progress")</f>
        <v>0</v>
      </c>
      <c r="D25">
        <f>COUNTIF(Sample_Matrix!AD3:AD202,"QC Needed")</f>
        <v>0</v>
      </c>
      <c r="E25">
        <f>COUNTIF(Sample_Matrix!AD3:AD202,"Failed")</f>
        <v>0</v>
      </c>
      <c r="F25">
        <f>COUNTIF(Sample_Matrix!AD3:AD202,"Exported")</f>
        <v>0</v>
      </c>
      <c r="G25">
        <f>COUNTIF(Sample_Matrix!AD3:AD202,"Not Started")</f>
        <v>0</v>
      </c>
      <c r="H25" s="3" t="str">
        <f>IF(COUNTA(Sample_Matrix!AD3:AD202)=0,"",B25/COUNTA(Sample_Matrix!AD3:AD202))</f>
        <v/>
      </c>
    </row>
    <row r="26" spans="1:8">
      <c r="A26" t="str">
        <f>Sample_Matrix!AE2</f>
        <v>AN21</v>
      </c>
      <c r="B26">
        <f>COUNTIF(Sample_Matrix!AE3:AE202,"Complete")</f>
        <v>0</v>
      </c>
      <c r="C26">
        <f>COUNTIF(Sample_Matrix!AE3:AE202,"In Progress")</f>
        <v>0</v>
      </c>
      <c r="D26">
        <f>COUNTIF(Sample_Matrix!AE3:AE202,"QC Needed")</f>
        <v>0</v>
      </c>
      <c r="E26">
        <f>COUNTIF(Sample_Matrix!AE3:AE202,"Failed")</f>
        <v>0</v>
      </c>
      <c r="F26">
        <f>COUNTIF(Sample_Matrix!AE3:AE202,"Exported")</f>
        <v>0</v>
      </c>
      <c r="G26">
        <f>COUNTIF(Sample_Matrix!AE3:AE202,"Not Started")</f>
        <v>0</v>
      </c>
      <c r="H26" s="3" t="str">
        <f>IF(COUNTA(Sample_Matrix!AE3:AE202)=0,"",B26/COUNTA(Sample_Matrix!AE3:AE202))</f>
        <v/>
      </c>
    </row>
    <row r="27" spans="1:8">
      <c r="A27" t="str">
        <f>Sample_Matrix!AF2</f>
        <v>AN22</v>
      </c>
      <c r="B27">
        <f>COUNTIF(Sample_Matrix!AF3:AF202,"Complete")</f>
        <v>0</v>
      </c>
      <c r="C27">
        <f>COUNTIF(Sample_Matrix!AF3:AF202,"In Progress")</f>
        <v>0</v>
      </c>
      <c r="D27">
        <f>COUNTIF(Sample_Matrix!AF3:AF202,"QC Needed")</f>
        <v>0</v>
      </c>
      <c r="E27">
        <f>COUNTIF(Sample_Matrix!AF3:AF202,"Failed")</f>
        <v>0</v>
      </c>
      <c r="F27">
        <f>COUNTIF(Sample_Matrix!AF3:AF202,"Exported")</f>
        <v>0</v>
      </c>
      <c r="G27">
        <f>COUNTIF(Sample_Matrix!AF3:AF202,"Not Started")</f>
        <v>0</v>
      </c>
      <c r="H27" s="3" t="str">
        <f>IF(COUNTA(Sample_Matrix!AF3:AF202)=0,"",B27/COUNTA(Sample_Matrix!AF3:AF202))</f>
        <v/>
      </c>
    </row>
    <row r="28" spans="1:8">
      <c r="A28" t="str">
        <f>Sample_Matrix!AG2</f>
        <v>AN23</v>
      </c>
      <c r="B28">
        <f>COUNTIF(Sample_Matrix!AG3:AG202,"Complete")</f>
        <v>0</v>
      </c>
      <c r="C28">
        <f>COUNTIF(Sample_Matrix!AG3:AG202,"In Progress")</f>
        <v>0</v>
      </c>
      <c r="D28">
        <f>COUNTIF(Sample_Matrix!AG3:AG202,"QC Needed")</f>
        <v>0</v>
      </c>
      <c r="E28">
        <f>COUNTIF(Sample_Matrix!AG3:AG202,"Failed")</f>
        <v>0</v>
      </c>
      <c r="F28">
        <f>COUNTIF(Sample_Matrix!AG3:AG202,"Exported")</f>
        <v>0</v>
      </c>
      <c r="G28">
        <f>COUNTIF(Sample_Matrix!AG3:AG202,"Not Started")</f>
        <v>0</v>
      </c>
      <c r="H28" s="3" t="str">
        <f>IF(COUNTA(Sample_Matrix!AG3:AG202)=0,"",B28/COUNTA(Sample_Matrix!AG3:AG202))</f>
        <v/>
      </c>
    </row>
    <row r="29" spans="1:8">
      <c r="A29" t="str">
        <f>Sample_Matrix!AH2</f>
        <v>AN24</v>
      </c>
      <c r="B29">
        <f>COUNTIF(Sample_Matrix!AH3:AH202,"Complete")</f>
        <v>0</v>
      </c>
      <c r="C29">
        <f>COUNTIF(Sample_Matrix!AH3:AH202,"In Progress")</f>
        <v>0</v>
      </c>
      <c r="D29">
        <f>COUNTIF(Sample_Matrix!AH3:AH202,"QC Needed")</f>
        <v>0</v>
      </c>
      <c r="E29">
        <f>COUNTIF(Sample_Matrix!AH3:AH202,"Failed")</f>
        <v>0</v>
      </c>
      <c r="F29">
        <f>COUNTIF(Sample_Matrix!AH3:AH202,"Exported")</f>
        <v>0</v>
      </c>
      <c r="G29">
        <f>COUNTIF(Sample_Matrix!AH3:AH202,"Not Started")</f>
        <v>0</v>
      </c>
      <c r="H29" s="3" t="str">
        <f>IF(COUNTA(Sample_Matrix!AH3:AH202)=0,"",B29/COUNTA(Sample_Matrix!AH3:AH202))</f>
        <v/>
      </c>
    </row>
    <row r="30" spans="1:8">
      <c r="A30" t="str">
        <f>Sample_Matrix!AI2</f>
        <v>AN25</v>
      </c>
      <c r="B30">
        <f>COUNTIF(Sample_Matrix!AI3:AI202,"Complete")</f>
        <v>0</v>
      </c>
      <c r="C30">
        <f>COUNTIF(Sample_Matrix!AI3:AI202,"In Progress")</f>
        <v>0</v>
      </c>
      <c r="D30">
        <f>COUNTIF(Sample_Matrix!AI3:AI202,"QC Needed")</f>
        <v>0</v>
      </c>
      <c r="E30">
        <f>COUNTIF(Sample_Matrix!AI3:AI202,"Failed")</f>
        <v>0</v>
      </c>
      <c r="F30">
        <f>COUNTIF(Sample_Matrix!AI3:AI202,"Exported")</f>
        <v>0</v>
      </c>
      <c r="G30">
        <f>COUNTIF(Sample_Matrix!AI3:AI202,"Not Started")</f>
        <v>0</v>
      </c>
      <c r="H30" s="3" t="str">
        <f>IF(COUNTA(Sample_Matrix!AI3:AI202)=0,"",B30/COUNTA(Sample_Matrix!AI3:AI202))</f>
        <v/>
      </c>
    </row>
    <row r="31" spans="1:8">
      <c r="A31" t="str">
        <f>Sample_Matrix!AJ2</f>
        <v>AN26</v>
      </c>
      <c r="B31">
        <f>COUNTIF(Sample_Matrix!AJ3:AJ202,"Complete")</f>
        <v>0</v>
      </c>
      <c r="C31">
        <f>COUNTIF(Sample_Matrix!AJ3:AJ202,"In Progress")</f>
        <v>0</v>
      </c>
      <c r="D31">
        <f>COUNTIF(Sample_Matrix!AJ3:AJ202,"QC Needed")</f>
        <v>0</v>
      </c>
      <c r="E31">
        <f>COUNTIF(Sample_Matrix!AJ3:AJ202,"Failed")</f>
        <v>0</v>
      </c>
      <c r="F31">
        <f>COUNTIF(Sample_Matrix!AJ3:AJ202,"Exported")</f>
        <v>0</v>
      </c>
      <c r="G31">
        <f>COUNTIF(Sample_Matrix!AJ3:AJ202,"Not Started")</f>
        <v>0</v>
      </c>
      <c r="H31" s="3" t="str">
        <f>IF(COUNTA(Sample_Matrix!AJ3:AJ202)=0,"",B31/COUNTA(Sample_Matrix!AJ3:AJ202))</f>
        <v/>
      </c>
    </row>
    <row r="32" spans="1:8">
      <c r="A32" t="str">
        <f>Sample_Matrix!AK2</f>
        <v>AN27</v>
      </c>
      <c r="B32">
        <f>COUNTIF(Sample_Matrix!AK3:AK202,"Complete")</f>
        <v>0</v>
      </c>
      <c r="C32">
        <f>COUNTIF(Sample_Matrix!AK3:AK202,"In Progress")</f>
        <v>0</v>
      </c>
      <c r="D32">
        <f>COUNTIF(Sample_Matrix!AK3:AK202,"QC Needed")</f>
        <v>0</v>
      </c>
      <c r="E32">
        <f>COUNTIF(Sample_Matrix!AK3:AK202,"Failed")</f>
        <v>0</v>
      </c>
      <c r="F32">
        <f>COUNTIF(Sample_Matrix!AK3:AK202,"Exported")</f>
        <v>0</v>
      </c>
      <c r="G32">
        <f>COUNTIF(Sample_Matrix!AK3:AK202,"Not Started")</f>
        <v>0</v>
      </c>
      <c r="H32" s="3" t="str">
        <f>IF(COUNTA(Sample_Matrix!AK3:AK202)=0,"",B32/COUNTA(Sample_Matrix!AK3:AK202))</f>
        <v/>
      </c>
    </row>
    <row r="33" spans="1:8">
      <c r="A33" t="str">
        <f>Sample_Matrix!AL2</f>
        <v>AN28</v>
      </c>
      <c r="B33">
        <f>COUNTIF(Sample_Matrix!AL3:AL202,"Complete")</f>
        <v>0</v>
      </c>
      <c r="C33">
        <f>COUNTIF(Sample_Matrix!AL3:AL202,"In Progress")</f>
        <v>0</v>
      </c>
      <c r="D33">
        <f>COUNTIF(Sample_Matrix!AL3:AL202,"QC Needed")</f>
        <v>0</v>
      </c>
      <c r="E33">
        <f>COUNTIF(Sample_Matrix!AL3:AL202,"Failed")</f>
        <v>0</v>
      </c>
      <c r="F33">
        <f>COUNTIF(Sample_Matrix!AL3:AL202,"Exported")</f>
        <v>0</v>
      </c>
      <c r="G33">
        <f>COUNTIF(Sample_Matrix!AL3:AL202,"Not Started")</f>
        <v>0</v>
      </c>
      <c r="H33" s="3" t="str">
        <f>IF(COUNTA(Sample_Matrix!AL3:AL202)=0,"",B33/COUNTA(Sample_Matrix!AL3:AL202))</f>
        <v/>
      </c>
    </row>
    <row r="34" spans="1:8">
      <c r="A34" t="str">
        <f>Sample_Matrix!AM2</f>
        <v>AN29</v>
      </c>
      <c r="B34">
        <f>COUNTIF(Sample_Matrix!AM3:AM202,"Complete")</f>
        <v>0</v>
      </c>
      <c r="C34">
        <f>COUNTIF(Sample_Matrix!AM3:AM202,"In Progress")</f>
        <v>0</v>
      </c>
      <c r="D34">
        <f>COUNTIF(Sample_Matrix!AM3:AM202,"QC Needed")</f>
        <v>0</v>
      </c>
      <c r="E34">
        <f>COUNTIF(Sample_Matrix!AM3:AM202,"Failed")</f>
        <v>0</v>
      </c>
      <c r="F34">
        <f>COUNTIF(Sample_Matrix!AM3:AM202,"Exported")</f>
        <v>0</v>
      </c>
      <c r="G34">
        <f>COUNTIF(Sample_Matrix!AM3:AM202,"Not Started")</f>
        <v>0</v>
      </c>
      <c r="H34" s="3" t="str">
        <f>IF(COUNTA(Sample_Matrix!AM3:AM202)=0,"",B34/COUNTA(Sample_Matrix!AM3:AM202))</f>
        <v/>
      </c>
    </row>
    <row r="35" spans="1:8">
      <c r="A35" t="str">
        <f>Sample_Matrix!AN2</f>
        <v>AN30</v>
      </c>
      <c r="B35">
        <f>COUNTIF(Sample_Matrix!AN3:AN202,"Complete")</f>
        <v>0</v>
      </c>
      <c r="C35">
        <f>COUNTIF(Sample_Matrix!AN3:AN202,"In Progress")</f>
        <v>0</v>
      </c>
      <c r="D35">
        <f>COUNTIF(Sample_Matrix!AN3:AN202,"QC Needed")</f>
        <v>0</v>
      </c>
      <c r="E35">
        <f>COUNTIF(Sample_Matrix!AN3:AN202,"Failed")</f>
        <v>0</v>
      </c>
      <c r="F35">
        <f>COUNTIF(Sample_Matrix!AN3:AN202,"Exported")</f>
        <v>0</v>
      </c>
      <c r="G35">
        <f>COUNTIF(Sample_Matrix!AN3:AN202,"Not Started")</f>
        <v>0</v>
      </c>
      <c r="H35" s="3" t="str">
        <f>IF(COUNTA(Sample_Matrix!AN3:AN202)=0,"",B35/COUNTA(Sample_Matrix!AN3:AN202))</f>
        <v/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>
      <selection activeCell="L15" sqref="L15"/>
    </sheetView>
  </sheetViews>
  <sheetFormatPr baseColWidth="10" defaultColWidth="8.83203125" defaultRowHeight="15"/>
  <cols>
    <col min="1" max="1" width="18" customWidth="1"/>
    <col min="2" max="3" width="46" customWidth="1"/>
  </cols>
  <sheetData>
    <row r="1" spans="1:3" ht="18">
      <c r="A1" s="4" t="s">
        <v>69</v>
      </c>
      <c r="B1" s="4"/>
      <c r="C1" s="4"/>
    </row>
    <row r="3" spans="1:3" ht="16">
      <c r="A3" s="1" t="s">
        <v>70</v>
      </c>
      <c r="B3" s="1" t="s">
        <v>71</v>
      </c>
      <c r="C3" s="1" t="s">
        <v>72</v>
      </c>
    </row>
    <row r="4" spans="1:3" ht="16">
      <c r="A4" s="2" t="s">
        <v>67</v>
      </c>
      <c r="B4" s="2" t="s">
        <v>73</v>
      </c>
      <c r="C4" s="2" t="s">
        <v>74</v>
      </c>
    </row>
    <row r="5" spans="1:3" ht="16">
      <c r="A5" s="2" t="s">
        <v>63</v>
      </c>
      <c r="B5" s="2" t="s">
        <v>75</v>
      </c>
      <c r="C5" s="2" t="s">
        <v>76</v>
      </c>
    </row>
    <row r="6" spans="1:3" ht="32">
      <c r="A6" s="2" t="s">
        <v>62</v>
      </c>
      <c r="B6" s="2" t="s">
        <v>77</v>
      </c>
      <c r="C6" s="2" t="s">
        <v>78</v>
      </c>
    </row>
    <row r="7" spans="1:3" ht="16">
      <c r="A7" s="2" t="s">
        <v>64</v>
      </c>
      <c r="B7" s="2" t="s">
        <v>79</v>
      </c>
      <c r="C7" s="2" t="s">
        <v>80</v>
      </c>
    </row>
    <row r="8" spans="1:3" ht="16">
      <c r="A8" s="2" t="s">
        <v>65</v>
      </c>
      <c r="B8" s="2" t="s">
        <v>81</v>
      </c>
      <c r="C8" s="2" t="s">
        <v>82</v>
      </c>
    </row>
    <row r="9" spans="1:3" ht="32">
      <c r="A9" s="2" t="s">
        <v>83</v>
      </c>
      <c r="B9" s="2" t="s">
        <v>84</v>
      </c>
      <c r="C9" s="2" t="s">
        <v>85</v>
      </c>
    </row>
    <row r="10" spans="1:3" ht="32">
      <c r="A10" s="2" t="s">
        <v>66</v>
      </c>
      <c r="B10" s="2" t="s">
        <v>86</v>
      </c>
      <c r="C10" s="2" t="s">
        <v>87</v>
      </c>
    </row>
    <row r="11" spans="1:3" ht="16">
      <c r="A11" s="2" t="s">
        <v>214</v>
      </c>
      <c r="B11" s="2" t="s">
        <v>215</v>
      </c>
      <c r="C11" s="2" t="s">
        <v>216</v>
      </c>
    </row>
    <row r="12" spans="1:3" ht="32">
      <c r="A12" s="2" t="s">
        <v>217</v>
      </c>
      <c r="B12" s="2" t="s">
        <v>218</v>
      </c>
      <c r="C12" s="2" t="s">
        <v>85</v>
      </c>
    </row>
    <row r="15" spans="1:3" ht="18">
      <c r="A15" s="4" t="s">
        <v>229</v>
      </c>
      <c r="B15" s="4"/>
      <c r="C15" s="4"/>
    </row>
    <row r="17" spans="1:2" ht="16">
      <c r="A17" s="51" t="s">
        <v>212</v>
      </c>
      <c r="B17" t="s">
        <v>230</v>
      </c>
    </row>
    <row r="18" spans="1:2" ht="16">
      <c r="A18" s="51" t="s">
        <v>213</v>
      </c>
      <c r="B18" t="s">
        <v>231</v>
      </c>
    </row>
    <row r="19" spans="1:2" ht="16">
      <c r="A19" s="51" t="s">
        <v>219</v>
      </c>
      <c r="B19" t="s">
        <v>232</v>
      </c>
    </row>
    <row r="20" spans="1:2" ht="16">
      <c r="A20" s="51" t="s">
        <v>220</v>
      </c>
      <c r="B20" t="s">
        <v>233</v>
      </c>
    </row>
    <row r="21" spans="1:2" ht="16">
      <c r="A21" s="51" t="s">
        <v>221</v>
      </c>
      <c r="B21" t="s">
        <v>234</v>
      </c>
    </row>
    <row r="22" spans="1:2" ht="16">
      <c r="A22" s="51" t="s">
        <v>222</v>
      </c>
      <c r="B22" t="s">
        <v>236</v>
      </c>
    </row>
    <row r="23" spans="1:2" ht="16">
      <c r="A23" s="51" t="s">
        <v>223</v>
      </c>
      <c r="B23" t="s">
        <v>235</v>
      </c>
    </row>
  </sheetData>
  <mergeCells count="2">
    <mergeCell ref="A1:C1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Sample_Matrix</vt:lpstr>
      <vt:lpstr>Analysis_Register</vt:lpstr>
      <vt:lpstr>Cohort_Summary</vt:lpstr>
      <vt:lpstr>Status_Definitions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Peris Cuesta,Arnau</cp:lastModifiedBy>
  <dcterms:modified xsi:type="dcterms:W3CDTF">2026-10-01T18:09:56Z</dcterms:modified>
</cp:coreProperties>
</file>